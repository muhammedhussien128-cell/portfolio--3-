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 Analysis\"/>
    </mc:Choice>
  </mc:AlternateContent>
  <xr:revisionPtr revIDLastSave="0" documentId="13_ncr:1_{1B462E39-5433-4114-9104-D8C1BBC873C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Employees" sheetId="1" r:id="rId1"/>
    <sheet name="Attendance" sheetId="2" r:id="rId2"/>
    <sheet name="Advances &amp; Deductions" sheetId="3" r:id="rId3"/>
    <sheet name="Payroll Summary" sheetId="4" r:id="rId4"/>
    <sheet name="Dashboard" sheetId="5" r:id="rId5"/>
  </sheets>
  <definedNames>
    <definedName name="_xlnm._FilterDatabase" localSheetId="2" hidden="1">'Advances &amp; Deductions'!$A$2:$J$36</definedName>
    <definedName name="_xlnm._FilterDatabase" localSheetId="1" hidden="1">Attendance!$A$2:$P$993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5" i="4" l="1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6" i="4" s="1"/>
  <c r="D3" i="4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H238" i="2"/>
  <c r="H240" i="2"/>
  <c r="H235" i="2"/>
  <c r="H223" i="2"/>
  <c r="L223" i="2" s="1"/>
  <c r="H216" i="2"/>
  <c r="I162" i="2"/>
  <c r="N162" i="2" s="1"/>
  <c r="H162" i="2"/>
  <c r="L162" i="2" s="1"/>
  <c r="I663" i="2"/>
  <c r="I662" i="2"/>
  <c r="I661" i="2"/>
  <c r="I660" i="2"/>
  <c r="N660" i="2" s="1"/>
  <c r="I658" i="2"/>
  <c r="N658" i="2" s="1"/>
  <c r="I657" i="2"/>
  <c r="I656" i="2"/>
  <c r="I655" i="2"/>
  <c r="N655" i="2" s="1"/>
  <c r="I654" i="2"/>
  <c r="N654" i="2" s="1"/>
  <c r="I653" i="2"/>
  <c r="I651" i="2"/>
  <c r="I650" i="2"/>
  <c r="N650" i="2" s="1"/>
  <c r="I649" i="2"/>
  <c r="N649" i="2" s="1"/>
  <c r="I648" i="2"/>
  <c r="N648" i="2" s="1"/>
  <c r="I647" i="2"/>
  <c r="I644" i="2"/>
  <c r="N644" i="2" s="1"/>
  <c r="I643" i="2"/>
  <c r="N643" i="2" s="1"/>
  <c r="I642" i="2"/>
  <c r="I641" i="2"/>
  <c r="N641" i="2" s="1"/>
  <c r="I640" i="2"/>
  <c r="N640" i="2" s="1"/>
  <c r="I639" i="2"/>
  <c r="N639" i="2" s="1"/>
  <c r="I637" i="2"/>
  <c r="I636" i="2"/>
  <c r="I635" i="2"/>
  <c r="N635" i="2" s="1"/>
  <c r="I634" i="2"/>
  <c r="N634" i="2" s="1"/>
  <c r="I573" i="2"/>
  <c r="I572" i="2"/>
  <c r="I571" i="2"/>
  <c r="N571" i="2" s="1"/>
  <c r="I570" i="2"/>
  <c r="N570" i="2" s="1"/>
  <c r="I567" i="2"/>
  <c r="I565" i="2"/>
  <c r="I564" i="2"/>
  <c r="N564" i="2" s="1"/>
  <c r="I560" i="2"/>
  <c r="N560" i="2" s="1"/>
  <c r="I558" i="2"/>
  <c r="I557" i="2"/>
  <c r="I554" i="2"/>
  <c r="N554" i="2" s="1"/>
  <c r="I553" i="2"/>
  <c r="N553" i="2" s="1"/>
  <c r="I552" i="2"/>
  <c r="I550" i="2"/>
  <c r="I549" i="2"/>
  <c r="N549" i="2" s="1"/>
  <c r="I547" i="2"/>
  <c r="N547" i="2" s="1"/>
  <c r="I546" i="2"/>
  <c r="I545" i="2"/>
  <c r="I544" i="2"/>
  <c r="N544" i="2" s="1"/>
  <c r="H933" i="2"/>
  <c r="L933" i="2" s="1"/>
  <c r="H932" i="2"/>
  <c r="H931" i="2"/>
  <c r="H930" i="2"/>
  <c r="J930" i="2" s="1"/>
  <c r="H928" i="2"/>
  <c r="J928" i="2" s="1"/>
  <c r="H927" i="2"/>
  <c r="H926" i="2"/>
  <c r="H925" i="2"/>
  <c r="J925" i="2" s="1"/>
  <c r="H924" i="2"/>
  <c r="J924" i="2" s="1"/>
  <c r="H923" i="2"/>
  <c r="H921" i="2"/>
  <c r="H920" i="2"/>
  <c r="J920" i="2" s="1"/>
  <c r="H919" i="2"/>
  <c r="J919" i="2" s="1"/>
  <c r="H918" i="2"/>
  <c r="H903" i="2"/>
  <c r="J903" i="2" s="1"/>
  <c r="H902" i="2"/>
  <c r="J902" i="2" s="1"/>
  <c r="H901" i="2"/>
  <c r="J901" i="2" s="1"/>
  <c r="H900" i="2"/>
  <c r="J900" i="2" s="1"/>
  <c r="H898" i="2"/>
  <c r="L898" i="2" s="1"/>
  <c r="H897" i="2"/>
  <c r="L897" i="2" s="1"/>
  <c r="H896" i="2"/>
  <c r="J896" i="2" s="1"/>
  <c r="H895" i="2"/>
  <c r="J895" i="2" s="1"/>
  <c r="H894" i="2"/>
  <c r="L894" i="2" s="1"/>
  <c r="H893" i="2"/>
  <c r="L893" i="2" s="1"/>
  <c r="H891" i="2"/>
  <c r="L891" i="2" s="1"/>
  <c r="H890" i="2"/>
  <c r="J890" i="2" s="1"/>
  <c r="H889" i="2"/>
  <c r="J889" i="2" s="1"/>
  <c r="H888" i="2"/>
  <c r="L888" i="2" s="1"/>
  <c r="H887" i="2"/>
  <c r="J887" i="2" s="1"/>
  <c r="H884" i="2"/>
  <c r="J884" i="2" s="1"/>
  <c r="H883" i="2"/>
  <c r="L883" i="2" s="1"/>
  <c r="H882" i="2"/>
  <c r="L882" i="2" s="1"/>
  <c r="H881" i="2"/>
  <c r="J881" i="2" s="1"/>
  <c r="H880" i="2"/>
  <c r="J880" i="2" s="1"/>
  <c r="H879" i="2"/>
  <c r="L879" i="2" s="1"/>
  <c r="H877" i="2"/>
  <c r="L877" i="2" s="1"/>
  <c r="H876" i="2"/>
  <c r="L876" i="2" s="1"/>
  <c r="H875" i="2"/>
  <c r="J875" i="2" s="1"/>
  <c r="H874" i="2"/>
  <c r="L874" i="2" s="1"/>
  <c r="H873" i="2"/>
  <c r="L873" i="2" s="1"/>
  <c r="H872" i="2"/>
  <c r="J872" i="2" s="1"/>
  <c r="H871" i="2"/>
  <c r="J871" i="2" s="1"/>
  <c r="H870" i="2"/>
  <c r="J870" i="2" s="1"/>
  <c r="H868" i="2"/>
  <c r="J868" i="2" s="1"/>
  <c r="H867" i="2"/>
  <c r="J867" i="2" s="1"/>
  <c r="H866" i="2"/>
  <c r="J866" i="2" s="1"/>
  <c r="H865" i="2"/>
  <c r="L865" i="2" s="1"/>
  <c r="H864" i="2"/>
  <c r="L864" i="2" s="1"/>
  <c r="H863" i="2"/>
  <c r="L863" i="2" s="1"/>
  <c r="H861" i="2"/>
  <c r="J861" i="2" s="1"/>
  <c r="H860" i="2"/>
  <c r="L860" i="2" s="1"/>
  <c r="H859" i="2"/>
  <c r="J859" i="2" s="1"/>
  <c r="H858" i="2"/>
  <c r="J858" i="2" s="1"/>
  <c r="H857" i="2"/>
  <c r="J857" i="2" s="1"/>
  <c r="H854" i="2"/>
  <c r="J854" i="2" s="1"/>
  <c r="H853" i="2"/>
  <c r="J853" i="2" s="1"/>
  <c r="H852" i="2"/>
  <c r="J852" i="2" s="1"/>
  <c r="H851" i="2"/>
  <c r="J851" i="2" s="1"/>
  <c r="H850" i="2"/>
  <c r="L850" i="2" s="1"/>
  <c r="H849" i="2"/>
  <c r="J849" i="2" s="1"/>
  <c r="H847" i="2"/>
  <c r="L847" i="2" s="1"/>
  <c r="H846" i="2"/>
  <c r="J846" i="2" s="1"/>
  <c r="H845" i="2"/>
  <c r="J845" i="2" s="1"/>
  <c r="H844" i="2"/>
  <c r="L844" i="2" s="1"/>
  <c r="H693" i="2"/>
  <c r="J693" i="2" s="1"/>
  <c r="H692" i="2"/>
  <c r="L692" i="2" s="1"/>
  <c r="H691" i="2"/>
  <c r="J691" i="2" s="1"/>
  <c r="H690" i="2"/>
  <c r="L690" i="2" s="1"/>
  <c r="H688" i="2"/>
  <c r="L688" i="2" s="1"/>
  <c r="H687" i="2"/>
  <c r="L687" i="2" s="1"/>
  <c r="H686" i="2"/>
  <c r="J686" i="2" s="1"/>
  <c r="H685" i="2"/>
  <c r="L685" i="2" s="1"/>
  <c r="H684" i="2"/>
  <c r="L684" i="2" s="1"/>
  <c r="H683" i="2"/>
  <c r="H681" i="2"/>
  <c r="L681" i="2" s="1"/>
  <c r="H680" i="2"/>
  <c r="L680" i="2" s="1"/>
  <c r="H679" i="2"/>
  <c r="J679" i="2" s="1"/>
  <c r="H678" i="2"/>
  <c r="L678" i="2" s="1"/>
  <c r="H677" i="2"/>
  <c r="J677" i="2" s="1"/>
  <c r="H674" i="2"/>
  <c r="L674" i="2" s="1"/>
  <c r="H673" i="2"/>
  <c r="L673" i="2" s="1"/>
  <c r="H672" i="2"/>
  <c r="L672" i="2" s="1"/>
  <c r="H671" i="2"/>
  <c r="J671" i="2" s="1"/>
  <c r="H670" i="2"/>
  <c r="L670" i="2" s="1"/>
  <c r="H669" i="2"/>
  <c r="L669" i="2" s="1"/>
  <c r="H667" i="2"/>
  <c r="L667" i="2" s="1"/>
  <c r="H666" i="2"/>
  <c r="L666" i="2" s="1"/>
  <c r="H665" i="2"/>
  <c r="L665" i="2" s="1"/>
  <c r="M665" i="2" s="1"/>
  <c r="H664" i="2"/>
  <c r="J664" i="2" s="1"/>
  <c r="K664" i="2" s="1"/>
  <c r="H663" i="2"/>
  <c r="L663" i="2" s="1"/>
  <c r="H662" i="2"/>
  <c r="L662" i="2" s="1"/>
  <c r="M662" i="2" s="1"/>
  <c r="H661" i="2"/>
  <c r="L661" i="2" s="1"/>
  <c r="M661" i="2" s="1"/>
  <c r="H660" i="2"/>
  <c r="L660" i="2" s="1"/>
  <c r="M660" i="2" s="1"/>
  <c r="H658" i="2"/>
  <c r="L658" i="2" s="1"/>
  <c r="M658" i="2" s="1"/>
  <c r="H657" i="2"/>
  <c r="J657" i="2" s="1"/>
  <c r="K657" i="2" s="1"/>
  <c r="H656" i="2"/>
  <c r="J656" i="2" s="1"/>
  <c r="K656" i="2" s="1"/>
  <c r="H655" i="2"/>
  <c r="L655" i="2" s="1"/>
  <c r="M655" i="2" s="1"/>
  <c r="H654" i="2"/>
  <c r="L654" i="2" s="1"/>
  <c r="M654" i="2" s="1"/>
  <c r="H653" i="2"/>
  <c r="L653" i="2" s="1"/>
  <c r="M653" i="2" s="1"/>
  <c r="H651" i="2"/>
  <c r="J651" i="2" s="1"/>
  <c r="K651" i="2" s="1"/>
  <c r="H650" i="2"/>
  <c r="J650" i="2" s="1"/>
  <c r="K650" i="2" s="1"/>
  <c r="H649" i="2"/>
  <c r="L649" i="2" s="1"/>
  <c r="M649" i="2" s="1"/>
  <c r="H648" i="2"/>
  <c r="L648" i="2" s="1"/>
  <c r="M648" i="2" s="1"/>
  <c r="H647" i="2"/>
  <c r="L647" i="2" s="1"/>
  <c r="M647" i="2" s="1"/>
  <c r="H644" i="2"/>
  <c r="J644" i="2" s="1"/>
  <c r="K644" i="2" s="1"/>
  <c r="H643" i="2"/>
  <c r="L643" i="2" s="1"/>
  <c r="M643" i="2" s="1"/>
  <c r="H642" i="2"/>
  <c r="J642" i="2" s="1"/>
  <c r="K642" i="2" s="1"/>
  <c r="H641" i="2"/>
  <c r="J641" i="2" s="1"/>
  <c r="K641" i="2" s="1"/>
  <c r="H640" i="2"/>
  <c r="L640" i="2" s="1"/>
  <c r="M640" i="2" s="1"/>
  <c r="H639" i="2"/>
  <c r="L639" i="2" s="1"/>
  <c r="M639" i="2" s="1"/>
  <c r="H637" i="2"/>
  <c r="L637" i="2" s="1"/>
  <c r="M637" i="2" s="1"/>
  <c r="H636" i="2"/>
  <c r="J636" i="2" s="1"/>
  <c r="K636" i="2" s="1"/>
  <c r="H635" i="2"/>
  <c r="J635" i="2" s="1"/>
  <c r="K635" i="2" s="1"/>
  <c r="H634" i="2"/>
  <c r="L634" i="2" s="1"/>
  <c r="M634" i="2" s="1"/>
  <c r="H633" i="2"/>
  <c r="J633" i="2" s="1"/>
  <c r="K633" i="2" s="1"/>
  <c r="H632" i="2"/>
  <c r="L632" i="2" s="1"/>
  <c r="M632" i="2" s="1"/>
  <c r="H631" i="2"/>
  <c r="L631" i="2" s="1"/>
  <c r="M631" i="2" s="1"/>
  <c r="H630" i="2"/>
  <c r="L630" i="2" s="1"/>
  <c r="M630" i="2" s="1"/>
  <c r="H628" i="2"/>
  <c r="L628" i="2" s="1"/>
  <c r="M628" i="2" s="1"/>
  <c r="H627" i="2"/>
  <c r="L627" i="2" s="1"/>
  <c r="M627" i="2" s="1"/>
  <c r="H626" i="2"/>
  <c r="J626" i="2" s="1"/>
  <c r="K626" i="2" s="1"/>
  <c r="H625" i="2"/>
  <c r="L625" i="2" s="1"/>
  <c r="M625" i="2" s="1"/>
  <c r="H624" i="2"/>
  <c r="J624" i="2" s="1"/>
  <c r="K624" i="2" s="1"/>
  <c r="H623" i="2"/>
  <c r="L623" i="2" s="1"/>
  <c r="M623" i="2" s="1"/>
  <c r="H621" i="2"/>
  <c r="L621" i="2" s="1"/>
  <c r="M621" i="2" s="1"/>
  <c r="H620" i="2"/>
  <c r="L620" i="2" s="1"/>
  <c r="M620" i="2" s="1"/>
  <c r="H619" i="2"/>
  <c r="J619" i="2" s="1"/>
  <c r="K619" i="2" s="1"/>
  <c r="H618" i="2"/>
  <c r="L618" i="2" s="1"/>
  <c r="M618" i="2" s="1"/>
  <c r="H617" i="2"/>
  <c r="J617" i="2" s="1"/>
  <c r="K617" i="2" s="1"/>
  <c r="H614" i="2"/>
  <c r="L614" i="2" s="1"/>
  <c r="M614" i="2" s="1"/>
  <c r="H613" i="2"/>
  <c r="J613" i="2" s="1"/>
  <c r="K613" i="2" s="1"/>
  <c r="H612" i="2"/>
  <c r="J612" i="2" s="1"/>
  <c r="K612" i="2" s="1"/>
  <c r="H611" i="2"/>
  <c r="J611" i="2" s="1"/>
  <c r="K611" i="2" s="1"/>
  <c r="H610" i="2"/>
  <c r="L610" i="2" s="1"/>
  <c r="M610" i="2" s="1"/>
  <c r="H609" i="2"/>
  <c r="L609" i="2" s="1"/>
  <c r="M609" i="2" s="1"/>
  <c r="H607" i="2"/>
  <c r="L607" i="2" s="1"/>
  <c r="M607" i="2" s="1"/>
  <c r="H606" i="2"/>
  <c r="L606" i="2" s="1"/>
  <c r="M606" i="2" s="1"/>
  <c r="H605" i="2"/>
  <c r="L605" i="2" s="1"/>
  <c r="M605" i="2" s="1"/>
  <c r="H604" i="2"/>
  <c r="J604" i="2" s="1"/>
  <c r="K604" i="2" s="1"/>
  <c r="H603" i="2"/>
  <c r="L603" i="2" s="1"/>
  <c r="M603" i="2" s="1"/>
  <c r="H602" i="2"/>
  <c r="L602" i="2" s="1"/>
  <c r="M602" i="2" s="1"/>
  <c r="H601" i="2"/>
  <c r="L601" i="2" s="1"/>
  <c r="M601" i="2" s="1"/>
  <c r="H600" i="2"/>
  <c r="J600" i="2" s="1"/>
  <c r="K600" i="2" s="1"/>
  <c r="H598" i="2"/>
  <c r="L598" i="2" s="1"/>
  <c r="M598" i="2" s="1"/>
  <c r="H597" i="2"/>
  <c r="L597" i="2" s="1"/>
  <c r="M597" i="2" s="1"/>
  <c r="H596" i="2"/>
  <c r="L596" i="2" s="1"/>
  <c r="M596" i="2" s="1"/>
  <c r="H595" i="2"/>
  <c r="J595" i="2" s="1"/>
  <c r="K595" i="2" s="1"/>
  <c r="H594" i="2"/>
  <c r="J594" i="2" s="1"/>
  <c r="K594" i="2" s="1"/>
  <c r="H593" i="2"/>
  <c r="L593" i="2" s="1"/>
  <c r="M593" i="2" s="1"/>
  <c r="H591" i="2"/>
  <c r="L591" i="2" s="1"/>
  <c r="M591" i="2" s="1"/>
  <c r="H590" i="2"/>
  <c r="L590" i="2" s="1"/>
  <c r="M590" i="2" s="1"/>
  <c r="H589" i="2"/>
  <c r="J589" i="2" s="1"/>
  <c r="K589" i="2" s="1"/>
  <c r="H588" i="2"/>
  <c r="L588" i="2" s="1"/>
  <c r="M588" i="2" s="1"/>
  <c r="H587" i="2"/>
  <c r="L587" i="2" s="1"/>
  <c r="M587" i="2" s="1"/>
  <c r="H584" i="2"/>
  <c r="J584" i="2" s="1"/>
  <c r="K584" i="2" s="1"/>
  <c r="H583" i="2"/>
  <c r="J583" i="2" s="1"/>
  <c r="K583" i="2" s="1"/>
  <c r="H582" i="2"/>
  <c r="J582" i="2" s="1"/>
  <c r="K582" i="2" s="1"/>
  <c r="H581" i="2"/>
  <c r="L581" i="2" s="1"/>
  <c r="M581" i="2" s="1"/>
  <c r="H580" i="2"/>
  <c r="L580" i="2" s="1"/>
  <c r="M580" i="2" s="1"/>
  <c r="H579" i="2"/>
  <c r="L579" i="2" s="1"/>
  <c r="M579" i="2" s="1"/>
  <c r="H577" i="2"/>
  <c r="L577" i="2" s="1"/>
  <c r="M577" i="2" s="1"/>
  <c r="H576" i="2"/>
  <c r="L576" i="2" s="1"/>
  <c r="M576" i="2" s="1"/>
  <c r="H575" i="2"/>
  <c r="J575" i="2" s="1"/>
  <c r="K575" i="2" s="1"/>
  <c r="H574" i="2"/>
  <c r="J574" i="2" s="1"/>
  <c r="K574" i="2" s="1"/>
  <c r="H573" i="2"/>
  <c r="J573" i="2" s="1"/>
  <c r="K573" i="2" s="1"/>
  <c r="H572" i="2"/>
  <c r="L572" i="2" s="1"/>
  <c r="M572" i="2" s="1"/>
  <c r="H571" i="2"/>
  <c r="L571" i="2" s="1"/>
  <c r="M571" i="2" s="1"/>
  <c r="H570" i="2"/>
  <c r="L570" i="2" s="1"/>
  <c r="M570" i="2" s="1"/>
  <c r="H568" i="2"/>
  <c r="J568" i="2" s="1"/>
  <c r="K568" i="2" s="1"/>
  <c r="H567" i="2"/>
  <c r="L567" i="2" s="1"/>
  <c r="M567" i="2" s="1"/>
  <c r="H566" i="2"/>
  <c r="J566" i="2" s="1"/>
  <c r="K566" i="2" s="1"/>
  <c r="H565" i="2"/>
  <c r="L565" i="2" s="1"/>
  <c r="M565" i="2" s="1"/>
  <c r="H564" i="2"/>
  <c r="L564" i="2" s="1"/>
  <c r="M564" i="2" s="1"/>
  <c r="H563" i="2"/>
  <c r="L563" i="2" s="1"/>
  <c r="M563" i="2" s="1"/>
  <c r="H561" i="2"/>
  <c r="J561" i="2" s="1"/>
  <c r="K561" i="2" s="1"/>
  <c r="H560" i="2"/>
  <c r="J560" i="2" s="1"/>
  <c r="K560" i="2" s="1"/>
  <c r="H559" i="2"/>
  <c r="J559" i="2" s="1"/>
  <c r="K559" i="2" s="1"/>
  <c r="H558" i="2"/>
  <c r="L558" i="2" s="1"/>
  <c r="M558" i="2" s="1"/>
  <c r="H557" i="2"/>
  <c r="L557" i="2" s="1"/>
  <c r="M557" i="2" s="1"/>
  <c r="H554" i="2"/>
  <c r="L554" i="2" s="1"/>
  <c r="M554" i="2" s="1"/>
  <c r="H553" i="2"/>
  <c r="L553" i="2" s="1"/>
  <c r="M553" i="2" s="1"/>
  <c r="H552" i="2"/>
  <c r="L552" i="2" s="1"/>
  <c r="M552" i="2" s="1"/>
  <c r="H551" i="2"/>
  <c r="J551" i="2" s="1"/>
  <c r="K551" i="2" s="1"/>
  <c r="H550" i="2"/>
  <c r="L550" i="2" s="1"/>
  <c r="M550" i="2" s="1"/>
  <c r="H549" i="2"/>
  <c r="L549" i="2" s="1"/>
  <c r="M549" i="2" s="1"/>
  <c r="H547" i="2"/>
  <c r="L547" i="2" s="1"/>
  <c r="M547" i="2" s="1"/>
  <c r="H546" i="2"/>
  <c r="L546" i="2" s="1"/>
  <c r="M546" i="2" s="1"/>
  <c r="H545" i="2"/>
  <c r="L545" i="2" s="1"/>
  <c r="M545" i="2" s="1"/>
  <c r="H544" i="2"/>
  <c r="J544" i="2" s="1"/>
  <c r="K544" i="2" s="1"/>
  <c r="H543" i="2"/>
  <c r="L543" i="2" s="1"/>
  <c r="M543" i="2" s="1"/>
  <c r="H542" i="2"/>
  <c r="J542" i="2" s="1"/>
  <c r="K542" i="2" s="1"/>
  <c r="H541" i="2"/>
  <c r="J541" i="2" s="1"/>
  <c r="K541" i="2" s="1"/>
  <c r="H540" i="2"/>
  <c r="J540" i="2" s="1"/>
  <c r="K540" i="2" s="1"/>
  <c r="H538" i="2"/>
  <c r="L538" i="2" s="1"/>
  <c r="M538" i="2" s="1"/>
  <c r="H537" i="2"/>
  <c r="J537" i="2" s="1"/>
  <c r="K537" i="2" s="1"/>
  <c r="H536" i="2"/>
  <c r="J536" i="2" s="1"/>
  <c r="K536" i="2" s="1"/>
  <c r="H535" i="2"/>
  <c r="L535" i="2" s="1"/>
  <c r="M535" i="2" s="1"/>
  <c r="H534" i="2"/>
  <c r="L534" i="2" s="1"/>
  <c r="M534" i="2" s="1"/>
  <c r="H533" i="2"/>
  <c r="L533" i="2" s="1"/>
  <c r="M533" i="2" s="1"/>
  <c r="H531" i="2"/>
  <c r="L531" i="2" s="1"/>
  <c r="M531" i="2" s="1"/>
  <c r="H530" i="2"/>
  <c r="L530" i="2" s="1"/>
  <c r="M530" i="2" s="1"/>
  <c r="H529" i="2"/>
  <c r="L529" i="2" s="1"/>
  <c r="M529" i="2" s="1"/>
  <c r="H528" i="2"/>
  <c r="L528" i="2" s="1"/>
  <c r="M528" i="2" s="1"/>
  <c r="H527" i="2"/>
  <c r="J527" i="2" s="1"/>
  <c r="K527" i="2" s="1"/>
  <c r="H524" i="2"/>
  <c r="L524" i="2" s="1"/>
  <c r="M524" i="2" s="1"/>
  <c r="H523" i="2"/>
  <c r="L523" i="2" s="1"/>
  <c r="M523" i="2" s="1"/>
  <c r="H522" i="2"/>
  <c r="J522" i="2" s="1"/>
  <c r="K522" i="2" s="1"/>
  <c r="H521" i="2"/>
  <c r="J521" i="2" s="1"/>
  <c r="K521" i="2" s="1"/>
  <c r="H520" i="2"/>
  <c r="L520" i="2" s="1"/>
  <c r="M520" i="2" s="1"/>
  <c r="H519" i="2"/>
  <c r="L519" i="2" s="1"/>
  <c r="M519" i="2" s="1"/>
  <c r="H517" i="2"/>
  <c r="L517" i="2" s="1"/>
  <c r="M517" i="2" s="1"/>
  <c r="H516" i="2"/>
  <c r="J516" i="2" s="1"/>
  <c r="K516" i="2" s="1"/>
  <c r="H515" i="2"/>
  <c r="L515" i="2" s="1"/>
  <c r="M515" i="2" s="1"/>
  <c r="H514" i="2"/>
  <c r="L514" i="2" s="1"/>
  <c r="M514" i="2" s="1"/>
  <c r="H513" i="2"/>
  <c r="L513" i="2" s="1"/>
  <c r="M513" i="2" s="1"/>
  <c r="H512" i="2"/>
  <c r="J512" i="2" s="1"/>
  <c r="K512" i="2" s="1"/>
  <c r="H511" i="2"/>
  <c r="L511" i="2" s="1"/>
  <c r="M511" i="2" s="1"/>
  <c r="H510" i="2"/>
  <c r="L510" i="2" s="1"/>
  <c r="M510" i="2" s="1"/>
  <c r="H508" i="2"/>
  <c r="L508" i="2" s="1"/>
  <c r="H507" i="2"/>
  <c r="J507" i="2" s="1"/>
  <c r="H506" i="2"/>
  <c r="L506" i="2" s="1"/>
  <c r="M506" i="2" s="1"/>
  <c r="H505" i="2"/>
  <c r="L505" i="2" s="1"/>
  <c r="M505" i="2" s="1"/>
  <c r="H504" i="2"/>
  <c r="J504" i="2" s="1"/>
  <c r="K504" i="2" s="1"/>
  <c r="H503" i="2"/>
  <c r="L503" i="2" s="1"/>
  <c r="H501" i="2"/>
  <c r="L501" i="2" s="1"/>
  <c r="M501" i="2" s="1"/>
  <c r="H500" i="2"/>
  <c r="L500" i="2" s="1"/>
  <c r="M500" i="2" s="1"/>
  <c r="H499" i="2"/>
  <c r="H498" i="2"/>
  <c r="J498" i="2" s="1"/>
  <c r="H497" i="2"/>
  <c r="L497" i="2" s="1"/>
  <c r="M497" i="2" s="1"/>
  <c r="H494" i="2"/>
  <c r="L494" i="2" s="1"/>
  <c r="M494" i="2" s="1"/>
  <c r="H493" i="2"/>
  <c r="J493" i="2" s="1"/>
  <c r="H492" i="2"/>
  <c r="J492" i="2" s="1"/>
  <c r="K492" i="2" s="1"/>
  <c r="H491" i="2"/>
  <c r="J491" i="2" s="1"/>
  <c r="K491" i="2" s="1"/>
  <c r="H490" i="2"/>
  <c r="L490" i="2" s="1"/>
  <c r="M490" i="2" s="1"/>
  <c r="H489" i="2"/>
  <c r="H487" i="2"/>
  <c r="J487" i="2" s="1"/>
  <c r="H486" i="2"/>
  <c r="L486" i="2" s="1"/>
  <c r="M486" i="2" s="1"/>
  <c r="H485" i="2"/>
  <c r="L485" i="2" s="1"/>
  <c r="M485" i="2" s="1"/>
  <c r="I483" i="2"/>
  <c r="N483" i="2" s="1"/>
  <c r="O483" i="2" s="1"/>
  <c r="H483" i="2"/>
  <c r="L483" i="2" s="1"/>
  <c r="M483" i="2" s="1"/>
  <c r="I482" i="2"/>
  <c r="N482" i="2" s="1"/>
  <c r="O482" i="2" s="1"/>
  <c r="H482" i="2"/>
  <c r="L482" i="2" s="1"/>
  <c r="M482" i="2" s="1"/>
  <c r="I481" i="2"/>
  <c r="H481" i="2"/>
  <c r="J481" i="2" s="1"/>
  <c r="K481" i="2" s="1"/>
  <c r="I480" i="2"/>
  <c r="N480" i="2" s="1"/>
  <c r="O480" i="2" s="1"/>
  <c r="H480" i="2"/>
  <c r="L480" i="2" s="1"/>
  <c r="M480" i="2" s="1"/>
  <c r="I478" i="2"/>
  <c r="N478" i="2" s="1"/>
  <c r="O478" i="2" s="1"/>
  <c r="H478" i="2"/>
  <c r="J478" i="2" s="1"/>
  <c r="K478" i="2" s="1"/>
  <c r="I477" i="2"/>
  <c r="N477" i="2" s="1"/>
  <c r="O477" i="2" s="1"/>
  <c r="H477" i="2"/>
  <c r="L477" i="2" s="1"/>
  <c r="M477" i="2" s="1"/>
  <c r="I476" i="2"/>
  <c r="N476" i="2" s="1"/>
  <c r="O476" i="2" s="1"/>
  <c r="H476" i="2"/>
  <c r="J476" i="2" s="1"/>
  <c r="K476" i="2" s="1"/>
  <c r="I475" i="2"/>
  <c r="N475" i="2" s="1"/>
  <c r="O475" i="2" s="1"/>
  <c r="H475" i="2"/>
  <c r="L475" i="2" s="1"/>
  <c r="M475" i="2" s="1"/>
  <c r="I474" i="2"/>
  <c r="H474" i="2"/>
  <c r="L474" i="2" s="1"/>
  <c r="M474" i="2" s="1"/>
  <c r="I473" i="2"/>
  <c r="N473" i="2" s="1"/>
  <c r="O473" i="2" s="1"/>
  <c r="H473" i="2"/>
  <c r="L473" i="2" s="1"/>
  <c r="M473" i="2" s="1"/>
  <c r="I471" i="2"/>
  <c r="N471" i="2" s="1"/>
  <c r="O471" i="2" s="1"/>
  <c r="H471" i="2"/>
  <c r="J471" i="2" s="1"/>
  <c r="K471" i="2" s="1"/>
  <c r="I470" i="2"/>
  <c r="N470" i="2" s="1"/>
  <c r="O470" i="2" s="1"/>
  <c r="H470" i="2"/>
  <c r="L470" i="2" s="1"/>
  <c r="M470" i="2" s="1"/>
  <c r="I469" i="2"/>
  <c r="N469" i="2" s="1"/>
  <c r="O469" i="2" s="1"/>
  <c r="H469" i="2"/>
  <c r="J469" i="2" s="1"/>
  <c r="K469" i="2" s="1"/>
  <c r="H333" i="2"/>
  <c r="J333" i="2" s="1"/>
  <c r="H332" i="2"/>
  <c r="J332" i="2" s="1"/>
  <c r="H331" i="2"/>
  <c r="J331" i="2" s="1"/>
  <c r="K331" i="2" s="1"/>
  <c r="H330" i="2"/>
  <c r="L330" i="2" s="1"/>
  <c r="M330" i="2" s="1"/>
  <c r="H328" i="2"/>
  <c r="J328" i="2" s="1"/>
  <c r="H327" i="2"/>
  <c r="L327" i="2" s="1"/>
  <c r="H326" i="2"/>
  <c r="J326" i="2" s="1"/>
  <c r="K326" i="2" s="1"/>
  <c r="H325" i="2"/>
  <c r="L325" i="2" s="1"/>
  <c r="H324" i="2"/>
  <c r="L324" i="2" s="1"/>
  <c r="H323" i="2"/>
  <c r="J323" i="2" s="1"/>
  <c r="H321" i="2"/>
  <c r="L321" i="2" s="1"/>
  <c r="H320" i="2"/>
  <c r="L320" i="2" s="1"/>
  <c r="M320" i="2" s="1"/>
  <c r="H319" i="2"/>
  <c r="J319" i="2" s="1"/>
  <c r="H318" i="2"/>
  <c r="L318" i="2" s="1"/>
  <c r="H317" i="2"/>
  <c r="H314" i="2"/>
  <c r="L314" i="2" s="1"/>
  <c r="H313" i="2"/>
  <c r="H312" i="2"/>
  <c r="L312" i="2" s="1"/>
  <c r="H311" i="2"/>
  <c r="J311" i="2" s="1"/>
  <c r="K311" i="2" s="1"/>
  <c r="H310" i="2"/>
  <c r="L310" i="2" s="1"/>
  <c r="H309" i="2"/>
  <c r="L309" i="2" s="1"/>
  <c r="H307" i="2"/>
  <c r="L307" i="2" s="1"/>
  <c r="H306" i="2"/>
  <c r="J306" i="2" s="1"/>
  <c r="K306" i="2" s="1"/>
  <c r="H305" i="2"/>
  <c r="L305" i="2" s="1"/>
  <c r="H304" i="2"/>
  <c r="L304" i="2" s="1"/>
  <c r="L67" i="2"/>
  <c r="M67" i="2" s="1"/>
  <c r="H150" i="2"/>
  <c r="J150" i="2" s="1"/>
  <c r="K150" i="2" s="1"/>
  <c r="I63" i="2"/>
  <c r="N63" i="2" s="1"/>
  <c r="O63" i="2" s="1"/>
  <c r="I62" i="2"/>
  <c r="N62" i="2" s="1"/>
  <c r="O62" i="2" s="1"/>
  <c r="I61" i="2"/>
  <c r="N61" i="2" s="1"/>
  <c r="O61" i="2" s="1"/>
  <c r="I60" i="2"/>
  <c r="N60" i="2" s="1"/>
  <c r="O60" i="2" s="1"/>
  <c r="I58" i="2"/>
  <c r="N58" i="2" s="1"/>
  <c r="O58" i="2" s="1"/>
  <c r="I57" i="2"/>
  <c r="N57" i="2" s="1"/>
  <c r="O57" i="2" s="1"/>
  <c r="I56" i="2"/>
  <c r="N56" i="2" s="1"/>
  <c r="O56" i="2" s="1"/>
  <c r="I55" i="2"/>
  <c r="N55" i="2" s="1"/>
  <c r="O55" i="2" s="1"/>
  <c r="I54" i="2"/>
  <c r="N54" i="2" s="1"/>
  <c r="O54" i="2" s="1"/>
  <c r="I53" i="2"/>
  <c r="N53" i="2" s="1"/>
  <c r="O53" i="2" s="1"/>
  <c r="I51" i="2"/>
  <c r="N51" i="2" s="1"/>
  <c r="O51" i="2" s="1"/>
  <c r="I50" i="2"/>
  <c r="N50" i="2" s="1"/>
  <c r="O50" i="2" s="1"/>
  <c r="I49" i="2"/>
  <c r="N49" i="2" s="1"/>
  <c r="O49" i="2" s="1"/>
  <c r="I48" i="2"/>
  <c r="N48" i="2" s="1"/>
  <c r="O48" i="2" s="1"/>
  <c r="I47" i="2"/>
  <c r="N47" i="2" s="1"/>
  <c r="O47" i="2" s="1"/>
  <c r="I44" i="2"/>
  <c r="N44" i="2" s="1"/>
  <c r="O44" i="2" s="1"/>
  <c r="I43" i="2"/>
  <c r="N43" i="2" s="1"/>
  <c r="O43" i="2" s="1"/>
  <c r="I42" i="2"/>
  <c r="N42" i="2" s="1"/>
  <c r="O42" i="2" s="1"/>
  <c r="I41" i="2"/>
  <c r="N41" i="2" s="1"/>
  <c r="O41" i="2" s="1"/>
  <c r="I40" i="2"/>
  <c r="N40" i="2" s="1"/>
  <c r="O40" i="2" s="1"/>
  <c r="I39" i="2"/>
  <c r="N39" i="2" s="1"/>
  <c r="O39" i="2" s="1"/>
  <c r="I37" i="2"/>
  <c r="N37" i="2" s="1"/>
  <c r="O37" i="2" s="1"/>
  <c r="I36" i="2"/>
  <c r="N36" i="2" s="1"/>
  <c r="O36" i="2" s="1"/>
  <c r="I35" i="2"/>
  <c r="N35" i="2" s="1"/>
  <c r="O35" i="2" s="1"/>
  <c r="I34" i="2"/>
  <c r="N34" i="2" s="1"/>
  <c r="O34" i="2" s="1"/>
  <c r="H63" i="2"/>
  <c r="J63" i="2" s="1"/>
  <c r="K63" i="2" s="1"/>
  <c r="H62" i="2"/>
  <c r="L62" i="2" s="1"/>
  <c r="M62" i="2" s="1"/>
  <c r="H61" i="2"/>
  <c r="L61" i="2" s="1"/>
  <c r="M61" i="2" s="1"/>
  <c r="H60" i="2"/>
  <c r="J60" i="2" s="1"/>
  <c r="K60" i="2" s="1"/>
  <c r="H58" i="2"/>
  <c r="L58" i="2" s="1"/>
  <c r="M58" i="2" s="1"/>
  <c r="H57" i="2"/>
  <c r="J57" i="2" s="1"/>
  <c r="K57" i="2" s="1"/>
  <c r="H56" i="2"/>
  <c r="L56" i="2" s="1"/>
  <c r="M56" i="2" s="1"/>
  <c r="H55" i="2"/>
  <c r="J55" i="2" s="1"/>
  <c r="K55" i="2" s="1"/>
  <c r="H54" i="2"/>
  <c r="L54" i="2" s="1"/>
  <c r="M54" i="2" s="1"/>
  <c r="H53" i="2"/>
  <c r="L53" i="2" s="1"/>
  <c r="M53" i="2" s="1"/>
  <c r="H51" i="2"/>
  <c r="J51" i="2" s="1"/>
  <c r="K51" i="2" s="1"/>
  <c r="H50" i="2"/>
  <c r="J50" i="2" s="1"/>
  <c r="K50" i="2" s="1"/>
  <c r="H49" i="2"/>
  <c r="L49" i="2" s="1"/>
  <c r="M49" i="2" s="1"/>
  <c r="H48" i="2"/>
  <c r="J48" i="2" s="1"/>
  <c r="K48" i="2" s="1"/>
  <c r="H47" i="2"/>
  <c r="L47" i="2" s="1"/>
  <c r="M47" i="2" s="1"/>
  <c r="H44" i="2"/>
  <c r="J44" i="2" s="1"/>
  <c r="K44" i="2" s="1"/>
  <c r="H43" i="2"/>
  <c r="J43" i="2" s="1"/>
  <c r="K43" i="2" s="1"/>
  <c r="H42" i="2"/>
  <c r="L42" i="2" s="1"/>
  <c r="M42" i="2" s="1"/>
  <c r="H41" i="2"/>
  <c r="L41" i="2" s="1"/>
  <c r="M41" i="2" s="1"/>
  <c r="H40" i="2"/>
  <c r="J40" i="2" s="1"/>
  <c r="K40" i="2" s="1"/>
  <c r="H39" i="2"/>
  <c r="L39" i="2" s="1"/>
  <c r="M39" i="2" s="1"/>
  <c r="H37" i="2"/>
  <c r="J37" i="2" s="1"/>
  <c r="K37" i="2" s="1"/>
  <c r="H36" i="2"/>
  <c r="L36" i="2" s="1"/>
  <c r="M36" i="2" s="1"/>
  <c r="H35" i="2"/>
  <c r="J35" i="2" s="1"/>
  <c r="K35" i="2" s="1"/>
  <c r="H34" i="2"/>
  <c r="J34" i="2" s="1"/>
  <c r="K34" i="2" s="1"/>
  <c r="I33" i="2"/>
  <c r="N33" i="2" s="1"/>
  <c r="O33" i="2" s="1"/>
  <c r="H33" i="2"/>
  <c r="L33" i="2" s="1"/>
  <c r="M33" i="2" s="1"/>
  <c r="I32" i="2"/>
  <c r="N32" i="2" s="1"/>
  <c r="O32" i="2" s="1"/>
  <c r="H32" i="2"/>
  <c r="J32" i="2" s="1"/>
  <c r="K32" i="2" s="1"/>
  <c r="I31" i="2"/>
  <c r="N31" i="2" s="1"/>
  <c r="O31" i="2" s="1"/>
  <c r="H31" i="2"/>
  <c r="J31" i="2" s="1"/>
  <c r="K31" i="2" s="1"/>
  <c r="I30" i="2"/>
  <c r="N30" i="2" s="1"/>
  <c r="O30" i="2" s="1"/>
  <c r="H30" i="2"/>
  <c r="J30" i="2" s="1"/>
  <c r="K30" i="2" s="1"/>
  <c r="I28" i="2"/>
  <c r="N28" i="2" s="1"/>
  <c r="O28" i="2" s="1"/>
  <c r="H28" i="2"/>
  <c r="L28" i="2" s="1"/>
  <c r="M28" i="2" s="1"/>
  <c r="I27" i="2"/>
  <c r="N27" i="2" s="1"/>
  <c r="O27" i="2" s="1"/>
  <c r="H27" i="2"/>
  <c r="J27" i="2" s="1"/>
  <c r="K27" i="2" s="1"/>
  <c r="I26" i="2"/>
  <c r="N26" i="2" s="1"/>
  <c r="O26" i="2" s="1"/>
  <c r="H26" i="2"/>
  <c r="J26" i="2" s="1"/>
  <c r="K26" i="2" s="1"/>
  <c r="I25" i="2"/>
  <c r="N25" i="2" s="1"/>
  <c r="O25" i="2" s="1"/>
  <c r="H25" i="2"/>
  <c r="J25" i="2" s="1"/>
  <c r="K25" i="2" s="1"/>
  <c r="I24" i="2"/>
  <c r="N24" i="2" s="1"/>
  <c r="O24" i="2" s="1"/>
  <c r="H24" i="2"/>
  <c r="L24" i="2" s="1"/>
  <c r="M24" i="2" s="1"/>
  <c r="I23" i="2"/>
  <c r="N23" i="2" s="1"/>
  <c r="O23" i="2" s="1"/>
  <c r="H23" i="2"/>
  <c r="J23" i="2" s="1"/>
  <c r="K23" i="2" s="1"/>
  <c r="I21" i="2"/>
  <c r="N21" i="2" s="1"/>
  <c r="O21" i="2" s="1"/>
  <c r="H21" i="2"/>
  <c r="J21" i="2" s="1"/>
  <c r="K21" i="2" s="1"/>
  <c r="I20" i="2"/>
  <c r="N20" i="2" s="1"/>
  <c r="O20" i="2" s="1"/>
  <c r="H20" i="2"/>
  <c r="J20" i="2" s="1"/>
  <c r="K20" i="2" s="1"/>
  <c r="I19" i="2"/>
  <c r="N19" i="2" s="1"/>
  <c r="O19" i="2" s="1"/>
  <c r="H19" i="2"/>
  <c r="L19" i="2" s="1"/>
  <c r="M19" i="2" s="1"/>
  <c r="I17" i="2"/>
  <c r="N17" i="2" s="1"/>
  <c r="O17" i="2" s="1"/>
  <c r="H17" i="2"/>
  <c r="J17" i="2" s="1"/>
  <c r="K17" i="2" s="1"/>
  <c r="I14" i="2"/>
  <c r="N14" i="2" s="1"/>
  <c r="O14" i="2" s="1"/>
  <c r="H14" i="2"/>
  <c r="J14" i="2" s="1"/>
  <c r="K14" i="2" s="1"/>
  <c r="I13" i="2"/>
  <c r="N13" i="2" s="1"/>
  <c r="O13" i="2" s="1"/>
  <c r="H13" i="2"/>
  <c r="J13" i="2" s="1"/>
  <c r="K13" i="2" s="1"/>
  <c r="I12" i="2"/>
  <c r="N12" i="2" s="1"/>
  <c r="O12" i="2" s="1"/>
  <c r="H12" i="2"/>
  <c r="L12" i="2" s="1"/>
  <c r="M12" i="2" s="1"/>
  <c r="I11" i="2"/>
  <c r="N11" i="2" s="1"/>
  <c r="O11" i="2" s="1"/>
  <c r="H11" i="2"/>
  <c r="J11" i="2" s="1"/>
  <c r="K11" i="2" s="1"/>
  <c r="I10" i="2"/>
  <c r="N10" i="2" s="1"/>
  <c r="O10" i="2" s="1"/>
  <c r="H10" i="2"/>
  <c r="J10" i="2" s="1"/>
  <c r="K10" i="2" s="1"/>
  <c r="I9" i="2"/>
  <c r="N9" i="2" s="1"/>
  <c r="O9" i="2" s="1"/>
  <c r="H9" i="2"/>
  <c r="J9" i="2" s="1"/>
  <c r="K9" i="2" s="1"/>
  <c r="I7" i="2"/>
  <c r="N7" i="2" s="1"/>
  <c r="O7" i="2" s="1"/>
  <c r="H7" i="2"/>
  <c r="L7" i="2" s="1"/>
  <c r="M7" i="2" s="1"/>
  <c r="I6" i="2"/>
  <c r="N6" i="2" s="1"/>
  <c r="O6" i="2" s="1"/>
  <c r="H6" i="2"/>
  <c r="J6" i="2" s="1"/>
  <c r="K6" i="2" s="1"/>
  <c r="I5" i="2"/>
  <c r="N5" i="2" s="1"/>
  <c r="O5" i="2" s="1"/>
  <c r="H5" i="2"/>
  <c r="J5" i="2" s="1"/>
  <c r="K5" i="2" s="1"/>
  <c r="I4" i="2"/>
  <c r="N4" i="2" s="1"/>
  <c r="O4" i="2" s="1"/>
  <c r="H4" i="2"/>
  <c r="L4" i="2" s="1"/>
  <c r="M4" i="2" s="1"/>
  <c r="H35" i="3"/>
  <c r="I35" i="4" s="1"/>
  <c r="G44" i="5" s="1"/>
  <c r="H34" i="3"/>
  <c r="H33" i="3"/>
  <c r="H32" i="3"/>
  <c r="H31" i="3"/>
  <c r="H30" i="3"/>
  <c r="H29" i="3"/>
  <c r="H28" i="3"/>
  <c r="H27" i="3"/>
  <c r="I27" i="4" s="1"/>
  <c r="G36" i="5" s="1"/>
  <c r="H26" i="3"/>
  <c r="I26" i="4" s="1"/>
  <c r="G35" i="5" s="1"/>
  <c r="H25" i="3"/>
  <c r="H24" i="3"/>
  <c r="H23" i="3"/>
  <c r="H22" i="3"/>
  <c r="I22" i="4" s="1"/>
  <c r="G31" i="5" s="1"/>
  <c r="H21" i="3"/>
  <c r="H20" i="3"/>
  <c r="H19" i="3"/>
  <c r="H18" i="3"/>
  <c r="I18" i="4" s="1"/>
  <c r="G27" i="5" s="1"/>
  <c r="H17" i="3"/>
  <c r="H16" i="3"/>
  <c r="H15" i="3"/>
  <c r="I15" i="4" s="1"/>
  <c r="G24" i="5" s="1"/>
  <c r="H14" i="3"/>
  <c r="I14" i="4" s="1"/>
  <c r="G23" i="5" s="1"/>
  <c r="H13" i="3"/>
  <c r="I13" i="4" s="1"/>
  <c r="G22" i="5" s="1"/>
  <c r="H12" i="3"/>
  <c r="H11" i="3"/>
  <c r="H10" i="3"/>
  <c r="I10" i="4" s="1"/>
  <c r="G19" i="5" s="1"/>
  <c r="H9" i="3"/>
  <c r="H8" i="3"/>
  <c r="H7" i="3"/>
  <c r="I7" i="4" s="1"/>
  <c r="G16" i="5" s="1"/>
  <c r="H6" i="3"/>
  <c r="I6" i="4" s="1"/>
  <c r="G15" i="5" s="1"/>
  <c r="H5" i="3"/>
  <c r="I5" i="4" s="1"/>
  <c r="G14" i="5" s="1"/>
  <c r="H4" i="3"/>
  <c r="N993" i="2"/>
  <c r="N992" i="2"/>
  <c r="N991" i="2"/>
  <c r="N990" i="2"/>
  <c r="N988" i="2"/>
  <c r="N987" i="2"/>
  <c r="N986" i="2"/>
  <c r="N985" i="2"/>
  <c r="N984" i="2"/>
  <c r="N983" i="2"/>
  <c r="N981" i="2"/>
  <c r="N980" i="2"/>
  <c r="N979" i="2"/>
  <c r="N978" i="2"/>
  <c r="N977" i="2"/>
  <c r="N974" i="2"/>
  <c r="N973" i="2"/>
  <c r="N972" i="2"/>
  <c r="N971" i="2"/>
  <c r="N970" i="2"/>
  <c r="N969" i="2"/>
  <c r="N967" i="2"/>
  <c r="N966" i="2"/>
  <c r="N965" i="2"/>
  <c r="N964" i="2"/>
  <c r="N963" i="2"/>
  <c r="N962" i="2"/>
  <c r="N961" i="2"/>
  <c r="N960" i="2"/>
  <c r="N958" i="2"/>
  <c r="N957" i="2"/>
  <c r="N956" i="2"/>
  <c r="N955" i="2"/>
  <c r="N954" i="2"/>
  <c r="N953" i="2"/>
  <c r="N951" i="2"/>
  <c r="N950" i="2"/>
  <c r="N949" i="2"/>
  <c r="N948" i="2"/>
  <c r="N947" i="2"/>
  <c r="N944" i="2"/>
  <c r="N943" i="2"/>
  <c r="N942" i="2"/>
  <c r="N941" i="2"/>
  <c r="N940" i="2"/>
  <c r="N939" i="2"/>
  <c r="N937" i="2"/>
  <c r="N936" i="2"/>
  <c r="N935" i="2"/>
  <c r="N934" i="2"/>
  <c r="N933" i="2"/>
  <c r="N932" i="2"/>
  <c r="N931" i="2"/>
  <c r="N930" i="2"/>
  <c r="N928" i="2"/>
  <c r="N927" i="2"/>
  <c r="N926" i="2"/>
  <c r="N925" i="2"/>
  <c r="N924" i="2"/>
  <c r="N923" i="2"/>
  <c r="N921" i="2"/>
  <c r="N920" i="2"/>
  <c r="N919" i="2"/>
  <c r="N918" i="2"/>
  <c r="N917" i="2"/>
  <c r="N903" i="2"/>
  <c r="N902" i="2"/>
  <c r="N901" i="2"/>
  <c r="N900" i="2"/>
  <c r="N898" i="2"/>
  <c r="N897" i="2"/>
  <c r="N896" i="2"/>
  <c r="N895" i="2"/>
  <c r="N894" i="2"/>
  <c r="N893" i="2"/>
  <c r="N891" i="2"/>
  <c r="N890" i="2"/>
  <c r="N889" i="2"/>
  <c r="N888" i="2"/>
  <c r="N887" i="2"/>
  <c r="N884" i="2"/>
  <c r="N883" i="2"/>
  <c r="N882" i="2"/>
  <c r="N881" i="2"/>
  <c r="N880" i="2"/>
  <c r="N879" i="2"/>
  <c r="N877" i="2"/>
  <c r="N876" i="2"/>
  <c r="N875" i="2"/>
  <c r="N874" i="2"/>
  <c r="N873" i="2"/>
  <c r="N872" i="2"/>
  <c r="N871" i="2"/>
  <c r="N870" i="2"/>
  <c r="N868" i="2"/>
  <c r="N867" i="2"/>
  <c r="N866" i="2"/>
  <c r="N865" i="2"/>
  <c r="N864" i="2"/>
  <c r="N863" i="2"/>
  <c r="N861" i="2"/>
  <c r="N860" i="2"/>
  <c r="N859" i="2"/>
  <c r="N858" i="2"/>
  <c r="N857" i="2"/>
  <c r="N854" i="2"/>
  <c r="N853" i="2"/>
  <c r="N852" i="2"/>
  <c r="N851" i="2"/>
  <c r="N850" i="2"/>
  <c r="N849" i="2"/>
  <c r="N847" i="2"/>
  <c r="N846" i="2"/>
  <c r="N845" i="2"/>
  <c r="N844" i="2"/>
  <c r="N693" i="2"/>
  <c r="O693" i="2" s="1"/>
  <c r="N692" i="2"/>
  <c r="O692" i="2" s="1"/>
  <c r="N691" i="2"/>
  <c r="O691" i="2" s="1"/>
  <c r="N690" i="2"/>
  <c r="O690" i="2" s="1"/>
  <c r="N688" i="2"/>
  <c r="O688" i="2" s="1"/>
  <c r="N687" i="2"/>
  <c r="O687" i="2" s="1"/>
  <c r="N686" i="2"/>
  <c r="O686" i="2" s="1"/>
  <c r="N685" i="2"/>
  <c r="O685" i="2" s="1"/>
  <c r="N684" i="2"/>
  <c r="O684" i="2" s="1"/>
  <c r="N681" i="2"/>
  <c r="O681" i="2" s="1"/>
  <c r="N680" i="2"/>
  <c r="O680" i="2" s="1"/>
  <c r="N679" i="2"/>
  <c r="O679" i="2" s="1"/>
  <c r="N678" i="2"/>
  <c r="O678" i="2" s="1"/>
  <c r="N677" i="2"/>
  <c r="O677" i="2" s="1"/>
  <c r="N674" i="2"/>
  <c r="O674" i="2" s="1"/>
  <c r="N673" i="2"/>
  <c r="O673" i="2" s="1"/>
  <c r="N672" i="2"/>
  <c r="O672" i="2" s="1"/>
  <c r="N671" i="2"/>
  <c r="O671" i="2" s="1"/>
  <c r="N670" i="2"/>
  <c r="O670" i="2" s="1"/>
  <c r="N669" i="2"/>
  <c r="O669" i="2" s="1"/>
  <c r="N667" i="2"/>
  <c r="O667" i="2" s="1"/>
  <c r="N666" i="2"/>
  <c r="O666" i="2" s="1"/>
  <c r="N665" i="2"/>
  <c r="O665" i="2" s="1"/>
  <c r="N664" i="2"/>
  <c r="O664" i="2" s="1"/>
  <c r="N663" i="2"/>
  <c r="O663" i="2" s="1"/>
  <c r="N662" i="2"/>
  <c r="O662" i="2" s="1"/>
  <c r="N661" i="2"/>
  <c r="O661" i="2" s="1"/>
  <c r="N657" i="2"/>
  <c r="O657" i="2" s="1"/>
  <c r="N656" i="2"/>
  <c r="O656" i="2" s="1"/>
  <c r="N653" i="2"/>
  <c r="O653" i="2" s="1"/>
  <c r="N651" i="2"/>
  <c r="O651" i="2" s="1"/>
  <c r="N647" i="2"/>
  <c r="O647" i="2" s="1"/>
  <c r="N642" i="2"/>
  <c r="O642" i="2" s="1"/>
  <c r="N637" i="2"/>
  <c r="O637" i="2" s="1"/>
  <c r="N636" i="2"/>
  <c r="O636" i="2" s="1"/>
  <c r="N633" i="2"/>
  <c r="O633" i="2" s="1"/>
  <c r="N632" i="2"/>
  <c r="O632" i="2" s="1"/>
  <c r="N631" i="2"/>
  <c r="O631" i="2" s="1"/>
  <c r="N630" i="2"/>
  <c r="O630" i="2" s="1"/>
  <c r="N628" i="2"/>
  <c r="O628" i="2" s="1"/>
  <c r="N627" i="2"/>
  <c r="O627" i="2" s="1"/>
  <c r="N626" i="2"/>
  <c r="O626" i="2" s="1"/>
  <c r="N625" i="2"/>
  <c r="O625" i="2" s="1"/>
  <c r="N624" i="2"/>
  <c r="O624" i="2" s="1"/>
  <c r="N623" i="2"/>
  <c r="O623" i="2" s="1"/>
  <c r="N621" i="2"/>
  <c r="O621" i="2" s="1"/>
  <c r="N620" i="2"/>
  <c r="O620" i="2" s="1"/>
  <c r="N619" i="2"/>
  <c r="O619" i="2" s="1"/>
  <c r="N618" i="2"/>
  <c r="O618" i="2" s="1"/>
  <c r="N617" i="2"/>
  <c r="O617" i="2" s="1"/>
  <c r="N614" i="2"/>
  <c r="O614" i="2" s="1"/>
  <c r="N613" i="2"/>
  <c r="O613" i="2" s="1"/>
  <c r="N612" i="2"/>
  <c r="O612" i="2" s="1"/>
  <c r="N611" i="2"/>
  <c r="O611" i="2" s="1"/>
  <c r="N610" i="2"/>
  <c r="O610" i="2" s="1"/>
  <c r="N609" i="2"/>
  <c r="O609" i="2" s="1"/>
  <c r="N607" i="2"/>
  <c r="O607" i="2" s="1"/>
  <c r="N606" i="2"/>
  <c r="O606" i="2" s="1"/>
  <c r="N605" i="2"/>
  <c r="O605" i="2" s="1"/>
  <c r="N604" i="2"/>
  <c r="O604" i="2" s="1"/>
  <c r="N603" i="2"/>
  <c r="O603" i="2" s="1"/>
  <c r="N602" i="2"/>
  <c r="O602" i="2" s="1"/>
  <c r="N601" i="2"/>
  <c r="O601" i="2" s="1"/>
  <c r="N600" i="2"/>
  <c r="O600" i="2" s="1"/>
  <c r="N598" i="2"/>
  <c r="O598" i="2" s="1"/>
  <c r="N597" i="2"/>
  <c r="O597" i="2" s="1"/>
  <c r="N596" i="2"/>
  <c r="O596" i="2" s="1"/>
  <c r="N595" i="2"/>
  <c r="O595" i="2" s="1"/>
  <c r="N594" i="2"/>
  <c r="O594" i="2" s="1"/>
  <c r="N593" i="2"/>
  <c r="O593" i="2" s="1"/>
  <c r="N591" i="2"/>
  <c r="O591" i="2" s="1"/>
  <c r="N590" i="2"/>
  <c r="O590" i="2" s="1"/>
  <c r="N589" i="2"/>
  <c r="O589" i="2" s="1"/>
  <c r="N588" i="2"/>
  <c r="O588" i="2" s="1"/>
  <c r="N587" i="2"/>
  <c r="O587" i="2" s="1"/>
  <c r="N584" i="2"/>
  <c r="O584" i="2" s="1"/>
  <c r="N583" i="2"/>
  <c r="O583" i="2" s="1"/>
  <c r="N582" i="2"/>
  <c r="O582" i="2" s="1"/>
  <c r="N581" i="2"/>
  <c r="O581" i="2" s="1"/>
  <c r="N580" i="2"/>
  <c r="O580" i="2" s="1"/>
  <c r="N579" i="2"/>
  <c r="O579" i="2" s="1"/>
  <c r="N577" i="2"/>
  <c r="O577" i="2" s="1"/>
  <c r="N576" i="2"/>
  <c r="O576" i="2" s="1"/>
  <c r="N575" i="2"/>
  <c r="O575" i="2" s="1"/>
  <c r="N574" i="2"/>
  <c r="O574" i="2" s="1"/>
  <c r="N573" i="2"/>
  <c r="O573" i="2" s="1"/>
  <c r="N572" i="2"/>
  <c r="O572" i="2" s="1"/>
  <c r="N568" i="2"/>
  <c r="O568" i="2" s="1"/>
  <c r="N567" i="2"/>
  <c r="O567" i="2" s="1"/>
  <c r="N566" i="2"/>
  <c r="O566" i="2" s="1"/>
  <c r="N565" i="2"/>
  <c r="O565" i="2" s="1"/>
  <c r="N563" i="2"/>
  <c r="O563" i="2" s="1"/>
  <c r="N561" i="2"/>
  <c r="O561" i="2" s="1"/>
  <c r="N559" i="2"/>
  <c r="O559" i="2" s="1"/>
  <c r="N558" i="2"/>
  <c r="O558" i="2" s="1"/>
  <c r="N557" i="2"/>
  <c r="O557" i="2" s="1"/>
  <c r="N552" i="2"/>
  <c r="O552" i="2" s="1"/>
  <c r="N551" i="2"/>
  <c r="O551" i="2" s="1"/>
  <c r="N550" i="2"/>
  <c r="O550" i="2" s="1"/>
  <c r="N546" i="2"/>
  <c r="O546" i="2" s="1"/>
  <c r="N545" i="2"/>
  <c r="O545" i="2" s="1"/>
  <c r="N543" i="2"/>
  <c r="O543" i="2" s="1"/>
  <c r="N542" i="2"/>
  <c r="O542" i="2" s="1"/>
  <c r="N541" i="2"/>
  <c r="O541" i="2" s="1"/>
  <c r="N540" i="2"/>
  <c r="O540" i="2" s="1"/>
  <c r="N538" i="2"/>
  <c r="O538" i="2" s="1"/>
  <c r="N537" i="2"/>
  <c r="O537" i="2" s="1"/>
  <c r="N536" i="2"/>
  <c r="O536" i="2" s="1"/>
  <c r="N535" i="2"/>
  <c r="O535" i="2" s="1"/>
  <c r="N534" i="2"/>
  <c r="O534" i="2" s="1"/>
  <c r="N533" i="2"/>
  <c r="O533" i="2" s="1"/>
  <c r="N531" i="2"/>
  <c r="O531" i="2" s="1"/>
  <c r="N530" i="2"/>
  <c r="O530" i="2" s="1"/>
  <c r="N529" i="2"/>
  <c r="O529" i="2" s="1"/>
  <c r="N528" i="2"/>
  <c r="O528" i="2" s="1"/>
  <c r="N527" i="2"/>
  <c r="O527" i="2" s="1"/>
  <c r="N524" i="2"/>
  <c r="O524" i="2" s="1"/>
  <c r="N523" i="2"/>
  <c r="O523" i="2" s="1"/>
  <c r="N522" i="2"/>
  <c r="O522" i="2" s="1"/>
  <c r="N521" i="2"/>
  <c r="O521" i="2" s="1"/>
  <c r="N520" i="2"/>
  <c r="O520" i="2" s="1"/>
  <c r="N519" i="2"/>
  <c r="O519" i="2" s="1"/>
  <c r="N517" i="2"/>
  <c r="O517" i="2" s="1"/>
  <c r="N516" i="2"/>
  <c r="O516" i="2" s="1"/>
  <c r="N515" i="2"/>
  <c r="O515" i="2" s="1"/>
  <c r="N514" i="2"/>
  <c r="O514" i="2" s="1"/>
  <c r="N513" i="2"/>
  <c r="O513" i="2" s="1"/>
  <c r="N512" i="2"/>
  <c r="O512" i="2" s="1"/>
  <c r="N511" i="2"/>
  <c r="O511" i="2" s="1"/>
  <c r="N510" i="2"/>
  <c r="O510" i="2" s="1"/>
  <c r="N508" i="2"/>
  <c r="O508" i="2" s="1"/>
  <c r="N507" i="2"/>
  <c r="O507" i="2" s="1"/>
  <c r="N506" i="2"/>
  <c r="O506" i="2" s="1"/>
  <c r="N505" i="2"/>
  <c r="O505" i="2" s="1"/>
  <c r="N504" i="2"/>
  <c r="O504" i="2" s="1"/>
  <c r="N503" i="2"/>
  <c r="O503" i="2" s="1"/>
  <c r="N501" i="2"/>
  <c r="O501" i="2" s="1"/>
  <c r="N500" i="2"/>
  <c r="O500" i="2" s="1"/>
  <c r="N499" i="2"/>
  <c r="O499" i="2" s="1"/>
  <c r="N498" i="2"/>
  <c r="O498" i="2" s="1"/>
  <c r="N497" i="2"/>
  <c r="O497" i="2" s="1"/>
  <c r="N494" i="2"/>
  <c r="O494" i="2" s="1"/>
  <c r="N493" i="2"/>
  <c r="O493" i="2" s="1"/>
  <c r="N492" i="2"/>
  <c r="O492" i="2" s="1"/>
  <c r="N491" i="2"/>
  <c r="O491" i="2" s="1"/>
  <c r="N490" i="2"/>
  <c r="O490" i="2" s="1"/>
  <c r="N489" i="2"/>
  <c r="O489" i="2" s="1"/>
  <c r="N487" i="2"/>
  <c r="O487" i="2" s="1"/>
  <c r="N486" i="2"/>
  <c r="O486" i="2" s="1"/>
  <c r="N485" i="2"/>
  <c r="O485" i="2" s="1"/>
  <c r="N484" i="2"/>
  <c r="O484" i="2" s="1"/>
  <c r="N481" i="2"/>
  <c r="O481" i="2" s="1"/>
  <c r="N474" i="2"/>
  <c r="O474" i="2" s="1"/>
  <c r="N468" i="2"/>
  <c r="O468" i="2" s="1"/>
  <c r="N467" i="2"/>
  <c r="O467" i="2" s="1"/>
  <c r="N464" i="2"/>
  <c r="O464" i="2" s="1"/>
  <c r="N463" i="2"/>
  <c r="O463" i="2" s="1"/>
  <c r="N462" i="2"/>
  <c r="O462" i="2" s="1"/>
  <c r="N461" i="2"/>
  <c r="O461" i="2" s="1"/>
  <c r="N460" i="2"/>
  <c r="O460" i="2" s="1"/>
  <c r="N459" i="2"/>
  <c r="O459" i="2" s="1"/>
  <c r="N457" i="2"/>
  <c r="O457" i="2" s="1"/>
  <c r="N456" i="2"/>
  <c r="O456" i="2" s="1"/>
  <c r="N455" i="2"/>
  <c r="O455" i="2" s="1"/>
  <c r="N454" i="2"/>
  <c r="O454" i="2" s="1"/>
  <c r="N453" i="2"/>
  <c r="O453" i="2" s="1"/>
  <c r="N452" i="2"/>
  <c r="O452" i="2" s="1"/>
  <c r="N450" i="2"/>
  <c r="O450" i="2" s="1"/>
  <c r="N448" i="2"/>
  <c r="O448" i="2" s="1"/>
  <c r="N447" i="2"/>
  <c r="O447" i="2" s="1"/>
  <c r="N446" i="2"/>
  <c r="O446" i="2" s="1"/>
  <c r="N445" i="2"/>
  <c r="O445" i="2" s="1"/>
  <c r="N444" i="2"/>
  <c r="O444" i="2" s="1"/>
  <c r="N443" i="2"/>
  <c r="O443" i="2" s="1"/>
  <c r="N441" i="2"/>
  <c r="O441" i="2" s="1"/>
  <c r="N440" i="2"/>
  <c r="O440" i="2" s="1"/>
  <c r="N439" i="2"/>
  <c r="O439" i="2" s="1"/>
  <c r="N438" i="2"/>
  <c r="O438" i="2" s="1"/>
  <c r="N437" i="2"/>
  <c r="O437" i="2" s="1"/>
  <c r="N434" i="2"/>
  <c r="O434" i="2" s="1"/>
  <c r="N433" i="2"/>
  <c r="O433" i="2" s="1"/>
  <c r="N432" i="2"/>
  <c r="O432" i="2" s="1"/>
  <c r="N431" i="2"/>
  <c r="O431" i="2" s="1"/>
  <c r="N429" i="2"/>
  <c r="O429" i="2" s="1"/>
  <c r="N426" i="2"/>
  <c r="O426" i="2" s="1"/>
  <c r="N425" i="2"/>
  <c r="O425" i="2" s="1"/>
  <c r="N424" i="2"/>
  <c r="O424" i="2" s="1"/>
  <c r="N422" i="2"/>
  <c r="O422" i="2" s="1"/>
  <c r="N421" i="2"/>
  <c r="O421" i="2" s="1"/>
  <c r="N420" i="2"/>
  <c r="O420" i="2" s="1"/>
  <c r="N418" i="2"/>
  <c r="O418" i="2" s="1"/>
  <c r="N417" i="2"/>
  <c r="O417" i="2" s="1"/>
  <c r="N416" i="2"/>
  <c r="O416" i="2" s="1"/>
  <c r="N415" i="2"/>
  <c r="O415" i="2" s="1"/>
  <c r="N414" i="2"/>
  <c r="O414" i="2" s="1"/>
  <c r="N413" i="2"/>
  <c r="O413" i="2" s="1"/>
  <c r="N411" i="2"/>
  <c r="O411" i="2" s="1"/>
  <c r="N410" i="2"/>
  <c r="O410" i="2" s="1"/>
  <c r="N409" i="2"/>
  <c r="O409" i="2" s="1"/>
  <c r="N408" i="2"/>
  <c r="O408" i="2" s="1"/>
  <c r="N407" i="2"/>
  <c r="O407" i="2" s="1"/>
  <c r="N404" i="2"/>
  <c r="O404" i="2" s="1"/>
  <c r="N402" i="2"/>
  <c r="O402" i="2" s="1"/>
  <c r="N401" i="2"/>
  <c r="O401" i="2" s="1"/>
  <c r="N400" i="2"/>
  <c r="O400" i="2" s="1"/>
  <c r="N399" i="2"/>
  <c r="O399" i="2" s="1"/>
  <c r="N397" i="2"/>
  <c r="O397" i="2" s="1"/>
  <c r="N396" i="2"/>
  <c r="O396" i="2" s="1"/>
  <c r="N395" i="2"/>
  <c r="O395" i="2" s="1"/>
  <c r="N394" i="2"/>
  <c r="O394" i="2" s="1"/>
  <c r="N393" i="2"/>
  <c r="N392" i="2"/>
  <c r="N391" i="2"/>
  <c r="N390" i="2"/>
  <c r="N388" i="2"/>
  <c r="N387" i="2"/>
  <c r="N386" i="2"/>
  <c r="N385" i="2"/>
  <c r="N384" i="2"/>
  <c r="N383" i="2"/>
  <c r="N381" i="2"/>
  <c r="N380" i="2"/>
  <c r="N379" i="2"/>
  <c r="N378" i="2"/>
  <c r="N377" i="2"/>
  <c r="N374" i="2"/>
  <c r="N373" i="2"/>
  <c r="N372" i="2"/>
  <c r="N371" i="2"/>
  <c r="N370" i="2"/>
  <c r="N369" i="2"/>
  <c r="N367" i="2"/>
  <c r="N366" i="2"/>
  <c r="N365" i="2"/>
  <c r="N364" i="2"/>
  <c r="N363" i="2"/>
  <c r="O363" i="2" s="1"/>
  <c r="N362" i="2"/>
  <c r="O362" i="2" s="1"/>
  <c r="N361" i="2"/>
  <c r="O361" i="2" s="1"/>
  <c r="N360" i="2"/>
  <c r="O360" i="2" s="1"/>
  <c r="N358" i="2"/>
  <c r="O358" i="2" s="1"/>
  <c r="N357" i="2"/>
  <c r="O357" i="2" s="1"/>
  <c r="N356" i="2"/>
  <c r="O356" i="2" s="1"/>
  <c r="N355" i="2"/>
  <c r="O355" i="2" s="1"/>
  <c r="N354" i="2"/>
  <c r="O354" i="2" s="1"/>
  <c r="N353" i="2"/>
  <c r="O353" i="2" s="1"/>
  <c r="N351" i="2"/>
  <c r="O351" i="2" s="1"/>
  <c r="N350" i="2"/>
  <c r="O350" i="2" s="1"/>
  <c r="N349" i="2"/>
  <c r="O349" i="2" s="1"/>
  <c r="N348" i="2"/>
  <c r="O348" i="2" s="1"/>
  <c r="N347" i="2"/>
  <c r="O347" i="2" s="1"/>
  <c r="N344" i="2"/>
  <c r="O344" i="2" s="1"/>
  <c r="N343" i="2"/>
  <c r="O343" i="2" s="1"/>
  <c r="N342" i="2"/>
  <c r="O342" i="2" s="1"/>
  <c r="N341" i="2"/>
  <c r="O341" i="2" s="1"/>
  <c r="N340" i="2"/>
  <c r="O340" i="2" s="1"/>
  <c r="N339" i="2"/>
  <c r="O339" i="2" s="1"/>
  <c r="N337" i="2"/>
  <c r="O337" i="2" s="1"/>
  <c r="N336" i="2"/>
  <c r="O336" i="2" s="1"/>
  <c r="N335" i="2"/>
  <c r="O335" i="2" s="1"/>
  <c r="N334" i="2"/>
  <c r="O334" i="2" s="1"/>
  <c r="N333" i="2"/>
  <c r="N332" i="2"/>
  <c r="O332" i="2" s="1"/>
  <c r="N331" i="2"/>
  <c r="N330" i="2"/>
  <c r="N328" i="2"/>
  <c r="N327" i="2"/>
  <c r="N326" i="2"/>
  <c r="N325" i="2"/>
  <c r="N324" i="2"/>
  <c r="N323" i="2"/>
  <c r="O323" i="2" s="1"/>
  <c r="N321" i="2"/>
  <c r="N320" i="2"/>
  <c r="N319" i="2"/>
  <c r="N318" i="2"/>
  <c r="N317" i="2"/>
  <c r="N314" i="2"/>
  <c r="N313" i="2"/>
  <c r="N312" i="2"/>
  <c r="O312" i="2" s="1"/>
  <c r="N311" i="2"/>
  <c r="N310" i="2"/>
  <c r="N309" i="2"/>
  <c r="N307" i="2"/>
  <c r="N306" i="2"/>
  <c r="N305" i="2"/>
  <c r="N304" i="2"/>
  <c r="N303" i="2"/>
  <c r="O303" i="2" s="1"/>
  <c r="N302" i="2"/>
  <c r="O302" i="2" s="1"/>
  <c r="N301" i="2"/>
  <c r="O301" i="2" s="1"/>
  <c r="N300" i="2"/>
  <c r="O300" i="2" s="1"/>
  <c r="N298" i="2"/>
  <c r="O298" i="2" s="1"/>
  <c r="N297" i="2"/>
  <c r="O297" i="2" s="1"/>
  <c r="N296" i="2"/>
  <c r="O296" i="2" s="1"/>
  <c r="N295" i="2"/>
  <c r="O295" i="2" s="1"/>
  <c r="N294" i="2"/>
  <c r="O294" i="2" s="1"/>
  <c r="N293" i="2"/>
  <c r="O293" i="2" s="1"/>
  <c r="N291" i="2"/>
  <c r="O291" i="2" s="1"/>
  <c r="N290" i="2"/>
  <c r="O290" i="2" s="1"/>
  <c r="N289" i="2"/>
  <c r="O289" i="2" s="1"/>
  <c r="N288" i="2"/>
  <c r="O288" i="2" s="1"/>
  <c r="N287" i="2"/>
  <c r="O287" i="2" s="1"/>
  <c r="N284" i="2"/>
  <c r="O284" i="2" s="1"/>
  <c r="N283" i="2"/>
  <c r="O283" i="2" s="1"/>
  <c r="N282" i="2"/>
  <c r="O282" i="2" s="1"/>
  <c r="N281" i="2"/>
  <c r="O281" i="2" s="1"/>
  <c r="N280" i="2"/>
  <c r="O280" i="2" s="1"/>
  <c r="N279" i="2"/>
  <c r="O279" i="2" s="1"/>
  <c r="N277" i="2"/>
  <c r="O277" i="2" s="1"/>
  <c r="N275" i="2"/>
  <c r="O275" i="2" s="1"/>
  <c r="N274" i="2"/>
  <c r="O274" i="2" s="1"/>
  <c r="N273" i="2"/>
  <c r="O273" i="2" s="1"/>
  <c r="N272" i="2"/>
  <c r="O272" i="2" s="1"/>
  <c r="N271" i="2"/>
  <c r="O271" i="2" s="1"/>
  <c r="N270" i="2"/>
  <c r="O270" i="2" s="1"/>
  <c r="N268" i="2"/>
  <c r="O268" i="2" s="1"/>
  <c r="N267" i="2"/>
  <c r="O267" i="2" s="1"/>
  <c r="N266" i="2"/>
  <c r="O266" i="2" s="1"/>
  <c r="N265" i="2"/>
  <c r="O265" i="2" s="1"/>
  <c r="N264" i="2"/>
  <c r="O264" i="2" s="1"/>
  <c r="N263" i="2"/>
  <c r="O263" i="2" s="1"/>
  <c r="N261" i="2"/>
  <c r="O261" i="2" s="1"/>
  <c r="N260" i="2"/>
  <c r="O260" i="2" s="1"/>
  <c r="N259" i="2"/>
  <c r="O259" i="2" s="1"/>
  <c r="N258" i="2"/>
  <c r="O258" i="2" s="1"/>
  <c r="N257" i="2"/>
  <c r="O257" i="2" s="1"/>
  <c r="N254" i="2"/>
  <c r="O254" i="2" s="1"/>
  <c r="N253" i="2"/>
  <c r="O253" i="2" s="1"/>
  <c r="N252" i="2"/>
  <c r="O252" i="2" s="1"/>
  <c r="N251" i="2"/>
  <c r="O251" i="2" s="1"/>
  <c r="N250" i="2"/>
  <c r="O250" i="2" s="1"/>
  <c r="N249" i="2"/>
  <c r="O249" i="2" s="1"/>
  <c r="N247" i="2"/>
  <c r="O247" i="2" s="1"/>
  <c r="N246" i="2"/>
  <c r="O246" i="2" s="1"/>
  <c r="N245" i="2"/>
  <c r="O245" i="2" s="1"/>
  <c r="N244" i="2"/>
  <c r="O244" i="2" s="1"/>
  <c r="N243" i="2"/>
  <c r="O243" i="2" s="1"/>
  <c r="N242" i="2"/>
  <c r="O242" i="2" s="1"/>
  <c r="N241" i="2"/>
  <c r="O241" i="2" s="1"/>
  <c r="N240" i="2"/>
  <c r="O240" i="2" s="1"/>
  <c r="N238" i="2"/>
  <c r="O238" i="2" s="1"/>
  <c r="N237" i="2"/>
  <c r="O237" i="2" s="1"/>
  <c r="N236" i="2"/>
  <c r="O236" i="2" s="1"/>
  <c r="N235" i="2"/>
  <c r="O235" i="2" s="1"/>
  <c r="N234" i="2"/>
  <c r="O234" i="2" s="1"/>
  <c r="N233" i="2"/>
  <c r="O233" i="2" s="1"/>
  <c r="N231" i="2"/>
  <c r="O231" i="2" s="1"/>
  <c r="N230" i="2"/>
  <c r="O230" i="2" s="1"/>
  <c r="N229" i="2"/>
  <c r="O229" i="2" s="1"/>
  <c r="N228" i="2"/>
  <c r="O228" i="2" s="1"/>
  <c r="N227" i="2"/>
  <c r="O227" i="2" s="1"/>
  <c r="N224" i="2"/>
  <c r="O224" i="2" s="1"/>
  <c r="N223" i="2"/>
  <c r="O223" i="2" s="1"/>
  <c r="N222" i="2"/>
  <c r="O222" i="2" s="1"/>
  <c r="N221" i="2"/>
  <c r="O221" i="2" s="1"/>
  <c r="N220" i="2"/>
  <c r="O220" i="2" s="1"/>
  <c r="N219" i="2"/>
  <c r="O219" i="2" s="1"/>
  <c r="N217" i="2"/>
  <c r="O217" i="2" s="1"/>
  <c r="N216" i="2"/>
  <c r="O216" i="2" s="1"/>
  <c r="N215" i="2"/>
  <c r="O215" i="2" s="1"/>
  <c r="N214" i="2"/>
  <c r="O214" i="2" s="1"/>
  <c r="N213" i="2"/>
  <c r="O213" i="2" s="1"/>
  <c r="N211" i="2"/>
  <c r="O211" i="2" s="1"/>
  <c r="N208" i="2"/>
  <c r="O208" i="2" s="1"/>
  <c r="N207" i="2"/>
  <c r="O207" i="2" s="1"/>
  <c r="N206" i="2"/>
  <c r="O206" i="2" s="1"/>
  <c r="N205" i="2"/>
  <c r="O205" i="2" s="1"/>
  <c r="N203" i="2"/>
  <c r="O203" i="2" s="1"/>
  <c r="N201" i="2"/>
  <c r="O201" i="2" s="1"/>
  <c r="N200" i="2"/>
  <c r="O200" i="2" s="1"/>
  <c r="N199" i="2"/>
  <c r="O199" i="2" s="1"/>
  <c r="N198" i="2"/>
  <c r="O198" i="2" s="1"/>
  <c r="N197" i="2"/>
  <c r="O197" i="2" s="1"/>
  <c r="N194" i="2"/>
  <c r="O194" i="2" s="1"/>
  <c r="N193" i="2"/>
  <c r="O193" i="2" s="1"/>
  <c r="N192" i="2"/>
  <c r="O192" i="2" s="1"/>
  <c r="N191" i="2"/>
  <c r="O191" i="2" s="1"/>
  <c r="N189" i="2"/>
  <c r="O189" i="2" s="1"/>
  <c r="N187" i="2"/>
  <c r="O187" i="2" s="1"/>
  <c r="N186" i="2"/>
  <c r="O186" i="2" s="1"/>
  <c r="N185" i="2"/>
  <c r="O185" i="2" s="1"/>
  <c r="N184" i="2"/>
  <c r="O184" i="2" s="1"/>
  <c r="N183" i="2"/>
  <c r="O183" i="2" s="1"/>
  <c r="N182" i="2"/>
  <c r="O182" i="2" s="1"/>
  <c r="N181" i="2"/>
  <c r="O181" i="2" s="1"/>
  <c r="N178" i="2"/>
  <c r="O178" i="2" s="1"/>
  <c r="N177" i="2"/>
  <c r="O177" i="2" s="1"/>
  <c r="N176" i="2"/>
  <c r="O176" i="2" s="1"/>
  <c r="N175" i="2"/>
  <c r="O175" i="2" s="1"/>
  <c r="N174" i="2"/>
  <c r="O174" i="2" s="1"/>
  <c r="N171" i="2"/>
  <c r="O171" i="2" s="1"/>
  <c r="N169" i="2"/>
  <c r="O169" i="2" s="1"/>
  <c r="N168" i="2"/>
  <c r="O168" i="2" s="1"/>
  <c r="N167" i="2"/>
  <c r="O167" i="2" s="1"/>
  <c r="N164" i="2"/>
  <c r="O164" i="2" s="1"/>
  <c r="N163" i="2"/>
  <c r="O163" i="2" s="1"/>
  <c r="N161" i="2"/>
  <c r="O161" i="2" s="1"/>
  <c r="N160" i="2"/>
  <c r="O160" i="2" s="1"/>
  <c r="N159" i="2"/>
  <c r="O159" i="2" s="1"/>
  <c r="N157" i="2"/>
  <c r="O157" i="2" s="1"/>
  <c r="N156" i="2"/>
  <c r="O156" i="2" s="1"/>
  <c r="N155" i="2"/>
  <c r="O155" i="2" s="1"/>
  <c r="N154" i="2"/>
  <c r="O154" i="2" s="1"/>
  <c r="N153" i="2"/>
  <c r="O153" i="2" s="1"/>
  <c r="N152" i="2"/>
  <c r="O152" i="2" s="1"/>
  <c r="N151" i="2"/>
  <c r="O151" i="2" s="1"/>
  <c r="N150" i="2"/>
  <c r="O150" i="2" s="1"/>
  <c r="N148" i="2"/>
  <c r="O148" i="2" s="1"/>
  <c r="N147" i="2"/>
  <c r="O147" i="2" s="1"/>
  <c r="N146" i="2"/>
  <c r="O146" i="2" s="1"/>
  <c r="N145" i="2"/>
  <c r="O145" i="2" s="1"/>
  <c r="N144" i="2"/>
  <c r="O144" i="2" s="1"/>
  <c r="N143" i="2"/>
  <c r="O143" i="2" s="1"/>
  <c r="N141" i="2"/>
  <c r="O141" i="2" s="1"/>
  <c r="N140" i="2"/>
  <c r="O140" i="2" s="1"/>
  <c r="N139" i="2"/>
  <c r="O139" i="2" s="1"/>
  <c r="N138" i="2"/>
  <c r="O138" i="2" s="1"/>
  <c r="N137" i="2"/>
  <c r="O137" i="2" s="1"/>
  <c r="N134" i="2"/>
  <c r="O134" i="2" s="1"/>
  <c r="N133" i="2"/>
  <c r="O133" i="2" s="1"/>
  <c r="N132" i="2"/>
  <c r="O132" i="2" s="1"/>
  <c r="N131" i="2"/>
  <c r="O131" i="2" s="1"/>
  <c r="N130" i="2"/>
  <c r="O130" i="2" s="1"/>
  <c r="N129" i="2"/>
  <c r="O129" i="2" s="1"/>
  <c r="N127" i="2"/>
  <c r="O127" i="2" s="1"/>
  <c r="N125" i="2"/>
  <c r="O125" i="2" s="1"/>
  <c r="N124" i="2"/>
  <c r="O124" i="2" s="1"/>
  <c r="N123" i="2"/>
  <c r="O123" i="2" s="1"/>
  <c r="N122" i="2"/>
  <c r="O122" i="2" s="1"/>
  <c r="N121" i="2"/>
  <c r="O121" i="2" s="1"/>
  <c r="N120" i="2"/>
  <c r="O120" i="2" s="1"/>
  <c r="N118" i="2"/>
  <c r="O118" i="2" s="1"/>
  <c r="N117" i="2"/>
  <c r="O117" i="2" s="1"/>
  <c r="N116" i="2"/>
  <c r="O116" i="2" s="1"/>
  <c r="N115" i="2"/>
  <c r="O115" i="2" s="1"/>
  <c r="N114" i="2"/>
  <c r="O114" i="2" s="1"/>
  <c r="N113" i="2"/>
  <c r="O113" i="2" s="1"/>
  <c r="N111" i="2"/>
  <c r="O111" i="2" s="1"/>
  <c r="N110" i="2"/>
  <c r="O110" i="2" s="1"/>
  <c r="N109" i="2"/>
  <c r="O109" i="2" s="1"/>
  <c r="N108" i="2"/>
  <c r="O108" i="2" s="1"/>
  <c r="N107" i="2"/>
  <c r="O107" i="2" s="1"/>
  <c r="N104" i="2"/>
  <c r="O104" i="2" s="1"/>
  <c r="N103" i="2"/>
  <c r="O103" i="2" s="1"/>
  <c r="N102" i="2"/>
  <c r="O102" i="2" s="1"/>
  <c r="N101" i="2"/>
  <c r="O101" i="2" s="1"/>
  <c r="N100" i="2"/>
  <c r="O100" i="2" s="1"/>
  <c r="N99" i="2"/>
  <c r="O99" i="2" s="1"/>
  <c r="N97" i="2"/>
  <c r="O97" i="2" s="1"/>
  <c r="N96" i="2"/>
  <c r="O96" i="2" s="1"/>
  <c r="N95" i="2"/>
  <c r="O95" i="2" s="1"/>
  <c r="N94" i="2"/>
  <c r="O94" i="2" s="1"/>
  <c r="N93" i="2"/>
  <c r="O93" i="2" s="1"/>
  <c r="N92" i="2"/>
  <c r="O92" i="2" s="1"/>
  <c r="N91" i="2"/>
  <c r="O91" i="2" s="1"/>
  <c r="N90" i="2"/>
  <c r="O90" i="2" s="1"/>
  <c r="N88" i="2"/>
  <c r="O88" i="2" s="1"/>
  <c r="N87" i="2"/>
  <c r="O87" i="2" s="1"/>
  <c r="N85" i="2"/>
  <c r="O85" i="2" s="1"/>
  <c r="N84" i="2"/>
  <c r="O84" i="2" s="1"/>
  <c r="N83" i="2"/>
  <c r="O83" i="2" s="1"/>
  <c r="N80" i="2"/>
  <c r="O80" i="2" s="1"/>
  <c r="N78" i="2"/>
  <c r="O78" i="2" s="1"/>
  <c r="N77" i="2"/>
  <c r="O77" i="2" s="1"/>
  <c r="N74" i="2"/>
  <c r="O74" i="2" s="1"/>
  <c r="N73" i="2"/>
  <c r="O73" i="2" s="1"/>
  <c r="N72" i="2"/>
  <c r="O72" i="2" s="1"/>
  <c r="N71" i="2"/>
  <c r="O71" i="2" s="1"/>
  <c r="N70" i="2"/>
  <c r="O70" i="2" s="1"/>
  <c r="N69" i="2"/>
  <c r="O69" i="2" s="1"/>
  <c r="N67" i="2"/>
  <c r="O67" i="2" s="1"/>
  <c r="N66" i="2"/>
  <c r="O66" i="2" s="1"/>
  <c r="N64" i="2"/>
  <c r="O64" i="2" s="1"/>
  <c r="L993" i="2"/>
  <c r="M993" i="2" s="1"/>
  <c r="L992" i="2"/>
  <c r="M992" i="2" s="1"/>
  <c r="L991" i="2"/>
  <c r="M991" i="2" s="1"/>
  <c r="L990" i="2"/>
  <c r="M990" i="2" s="1"/>
  <c r="L988" i="2"/>
  <c r="M988" i="2" s="1"/>
  <c r="L987" i="2"/>
  <c r="M987" i="2" s="1"/>
  <c r="L986" i="2"/>
  <c r="M986" i="2" s="1"/>
  <c r="L985" i="2"/>
  <c r="M985" i="2" s="1"/>
  <c r="L984" i="2"/>
  <c r="M984" i="2" s="1"/>
  <c r="L983" i="2"/>
  <c r="M983" i="2" s="1"/>
  <c r="L981" i="2"/>
  <c r="M981" i="2" s="1"/>
  <c r="L980" i="2"/>
  <c r="M980" i="2" s="1"/>
  <c r="L979" i="2"/>
  <c r="M979" i="2" s="1"/>
  <c r="L978" i="2"/>
  <c r="M978" i="2" s="1"/>
  <c r="L977" i="2"/>
  <c r="M977" i="2" s="1"/>
  <c r="L974" i="2"/>
  <c r="M974" i="2" s="1"/>
  <c r="L973" i="2"/>
  <c r="M973" i="2" s="1"/>
  <c r="L972" i="2"/>
  <c r="M972" i="2" s="1"/>
  <c r="L971" i="2"/>
  <c r="M971" i="2" s="1"/>
  <c r="L970" i="2"/>
  <c r="M970" i="2" s="1"/>
  <c r="L969" i="2"/>
  <c r="M969" i="2" s="1"/>
  <c r="L967" i="2"/>
  <c r="M967" i="2" s="1"/>
  <c r="L966" i="2"/>
  <c r="M966" i="2" s="1"/>
  <c r="L965" i="2"/>
  <c r="M965" i="2" s="1"/>
  <c r="L964" i="2"/>
  <c r="M964" i="2" s="1"/>
  <c r="L963" i="2"/>
  <c r="M963" i="2" s="1"/>
  <c r="L962" i="2"/>
  <c r="M962" i="2" s="1"/>
  <c r="L961" i="2"/>
  <c r="M961" i="2" s="1"/>
  <c r="L960" i="2"/>
  <c r="M960" i="2" s="1"/>
  <c r="L958" i="2"/>
  <c r="M958" i="2" s="1"/>
  <c r="L957" i="2"/>
  <c r="M957" i="2" s="1"/>
  <c r="L956" i="2"/>
  <c r="M956" i="2" s="1"/>
  <c r="L955" i="2"/>
  <c r="M955" i="2" s="1"/>
  <c r="L954" i="2"/>
  <c r="M954" i="2" s="1"/>
  <c r="L953" i="2"/>
  <c r="M953" i="2" s="1"/>
  <c r="L951" i="2"/>
  <c r="M951" i="2" s="1"/>
  <c r="L950" i="2"/>
  <c r="M950" i="2" s="1"/>
  <c r="L949" i="2"/>
  <c r="M949" i="2" s="1"/>
  <c r="L948" i="2"/>
  <c r="M948" i="2" s="1"/>
  <c r="L947" i="2"/>
  <c r="M947" i="2" s="1"/>
  <c r="L944" i="2"/>
  <c r="M944" i="2" s="1"/>
  <c r="L943" i="2"/>
  <c r="M943" i="2" s="1"/>
  <c r="L942" i="2"/>
  <c r="M942" i="2" s="1"/>
  <c r="L941" i="2"/>
  <c r="M941" i="2" s="1"/>
  <c r="L940" i="2"/>
  <c r="M940" i="2" s="1"/>
  <c r="L939" i="2"/>
  <c r="M939" i="2" s="1"/>
  <c r="L937" i="2"/>
  <c r="L936" i="2"/>
  <c r="L935" i="2"/>
  <c r="L934" i="2"/>
  <c r="L932" i="2"/>
  <c r="L931" i="2"/>
  <c r="L928" i="2"/>
  <c r="L927" i="2"/>
  <c r="L926" i="2"/>
  <c r="L923" i="2"/>
  <c r="L921" i="2"/>
  <c r="L918" i="2"/>
  <c r="L917" i="2"/>
  <c r="L889" i="2"/>
  <c r="L867" i="2"/>
  <c r="L686" i="2"/>
  <c r="L679" i="2"/>
  <c r="L677" i="2"/>
  <c r="L626" i="2"/>
  <c r="L619" i="2"/>
  <c r="L584" i="2"/>
  <c r="L582" i="2"/>
  <c r="L575" i="2"/>
  <c r="L566" i="2"/>
  <c r="L559" i="2"/>
  <c r="L522" i="2"/>
  <c r="L493" i="2"/>
  <c r="M493" i="2" s="1"/>
  <c r="L484" i="2"/>
  <c r="M484" i="2" s="1"/>
  <c r="L468" i="2"/>
  <c r="M468" i="2" s="1"/>
  <c r="L467" i="2"/>
  <c r="M467" i="2" s="1"/>
  <c r="L464" i="2"/>
  <c r="L463" i="2"/>
  <c r="L462" i="2"/>
  <c r="L461" i="2"/>
  <c r="L460" i="2"/>
  <c r="L459" i="2"/>
  <c r="L457" i="2"/>
  <c r="L456" i="2"/>
  <c r="L455" i="2"/>
  <c r="L454" i="2"/>
  <c r="L453" i="2"/>
  <c r="L452" i="2"/>
  <c r="L450" i="2"/>
  <c r="L448" i="2"/>
  <c r="L447" i="2"/>
  <c r="L446" i="2"/>
  <c r="L445" i="2"/>
  <c r="L444" i="2"/>
  <c r="L443" i="2"/>
  <c r="L441" i="2"/>
  <c r="L440" i="2"/>
  <c r="L439" i="2"/>
  <c r="L438" i="2"/>
  <c r="L437" i="2"/>
  <c r="L434" i="2"/>
  <c r="L433" i="2"/>
  <c r="L432" i="2"/>
  <c r="L431" i="2"/>
  <c r="L429" i="2"/>
  <c r="L426" i="2"/>
  <c r="L425" i="2"/>
  <c r="L424" i="2"/>
  <c r="L422" i="2"/>
  <c r="L421" i="2"/>
  <c r="L420" i="2"/>
  <c r="L418" i="2"/>
  <c r="L417" i="2"/>
  <c r="L416" i="2"/>
  <c r="L415" i="2"/>
  <c r="L414" i="2"/>
  <c r="L413" i="2"/>
  <c r="L411" i="2"/>
  <c r="L410" i="2"/>
  <c r="L409" i="2"/>
  <c r="L408" i="2"/>
  <c r="L407" i="2"/>
  <c r="L404" i="2"/>
  <c r="L402" i="2"/>
  <c r="L401" i="2"/>
  <c r="L400" i="2"/>
  <c r="L399" i="2"/>
  <c r="L397" i="2"/>
  <c r="L396" i="2"/>
  <c r="L395" i="2"/>
  <c r="L394" i="2"/>
  <c r="L393" i="2"/>
  <c r="L392" i="2"/>
  <c r="L391" i="2"/>
  <c r="L390" i="2"/>
  <c r="L388" i="2"/>
  <c r="L387" i="2"/>
  <c r="L386" i="2"/>
  <c r="L385" i="2"/>
  <c r="L384" i="2"/>
  <c r="L383" i="2"/>
  <c r="L381" i="2"/>
  <c r="L380" i="2"/>
  <c r="L379" i="2"/>
  <c r="L378" i="2"/>
  <c r="L377" i="2"/>
  <c r="L374" i="2"/>
  <c r="L373" i="2"/>
  <c r="L372" i="2"/>
  <c r="L371" i="2"/>
  <c r="L370" i="2"/>
  <c r="L369" i="2"/>
  <c r="L367" i="2"/>
  <c r="L366" i="2"/>
  <c r="L365" i="2"/>
  <c r="L364" i="2"/>
  <c r="L363" i="2"/>
  <c r="L362" i="2"/>
  <c r="L361" i="2"/>
  <c r="L360" i="2"/>
  <c r="L358" i="2"/>
  <c r="L357" i="2"/>
  <c r="L356" i="2"/>
  <c r="L355" i="2"/>
  <c r="L354" i="2"/>
  <c r="L353" i="2"/>
  <c r="L351" i="2"/>
  <c r="L350" i="2"/>
  <c r="L349" i="2"/>
  <c r="L348" i="2"/>
  <c r="L347" i="2"/>
  <c r="L344" i="2"/>
  <c r="L343" i="2"/>
  <c r="L342" i="2"/>
  <c r="L341" i="2"/>
  <c r="L340" i="2"/>
  <c r="L339" i="2"/>
  <c r="L337" i="2"/>
  <c r="L336" i="2"/>
  <c r="L335" i="2"/>
  <c r="L334" i="2"/>
  <c r="L303" i="2"/>
  <c r="L302" i="2"/>
  <c r="L301" i="2"/>
  <c r="L300" i="2"/>
  <c r="L298" i="2"/>
  <c r="L297" i="2"/>
  <c r="L296" i="2"/>
  <c r="L295" i="2"/>
  <c r="L294" i="2"/>
  <c r="L293" i="2"/>
  <c r="L291" i="2"/>
  <c r="L290" i="2"/>
  <c r="L289" i="2"/>
  <c r="L288" i="2"/>
  <c r="L287" i="2"/>
  <c r="L284" i="2"/>
  <c r="L283" i="2"/>
  <c r="L282" i="2"/>
  <c r="L281" i="2"/>
  <c r="L280" i="2"/>
  <c r="L279" i="2"/>
  <c r="L277" i="2"/>
  <c r="L275" i="2"/>
  <c r="L274" i="2"/>
  <c r="L273" i="2"/>
  <c r="L272" i="2"/>
  <c r="L271" i="2"/>
  <c r="L270" i="2"/>
  <c r="L268" i="2"/>
  <c r="L267" i="2"/>
  <c r="L266" i="2"/>
  <c r="L265" i="2"/>
  <c r="L264" i="2"/>
  <c r="L263" i="2"/>
  <c r="L261" i="2"/>
  <c r="L260" i="2"/>
  <c r="L259" i="2"/>
  <c r="L258" i="2"/>
  <c r="L257" i="2"/>
  <c r="L254" i="2"/>
  <c r="L253" i="2"/>
  <c r="L252" i="2"/>
  <c r="L251" i="2"/>
  <c r="L250" i="2"/>
  <c r="L249" i="2"/>
  <c r="L247" i="2"/>
  <c r="L246" i="2"/>
  <c r="L245" i="2"/>
  <c r="L244" i="2"/>
  <c r="L243" i="2"/>
  <c r="L242" i="2"/>
  <c r="L241" i="2"/>
  <c r="L240" i="2"/>
  <c r="L238" i="2"/>
  <c r="L237" i="2"/>
  <c r="L236" i="2"/>
  <c r="L235" i="2"/>
  <c r="L234" i="2"/>
  <c r="L233" i="2"/>
  <c r="L231" i="2"/>
  <c r="L230" i="2"/>
  <c r="L229" i="2"/>
  <c r="L228" i="2"/>
  <c r="L227" i="2"/>
  <c r="L224" i="2"/>
  <c r="L222" i="2"/>
  <c r="L221" i="2"/>
  <c r="L220" i="2"/>
  <c r="L219" i="2"/>
  <c r="L217" i="2"/>
  <c r="L216" i="2"/>
  <c r="L215" i="2"/>
  <c r="L214" i="2"/>
  <c r="L213" i="2"/>
  <c r="L211" i="2"/>
  <c r="L208" i="2"/>
  <c r="L207" i="2"/>
  <c r="L206" i="2"/>
  <c r="L205" i="2"/>
  <c r="L203" i="2"/>
  <c r="L201" i="2"/>
  <c r="L200" i="2"/>
  <c r="L199" i="2"/>
  <c r="L198" i="2"/>
  <c r="L197" i="2"/>
  <c r="L194" i="2"/>
  <c r="L193" i="2"/>
  <c r="L192" i="2"/>
  <c r="L191" i="2"/>
  <c r="L189" i="2"/>
  <c r="L187" i="2"/>
  <c r="L186" i="2"/>
  <c r="L185" i="2"/>
  <c r="L184" i="2"/>
  <c r="L183" i="2"/>
  <c r="L182" i="2"/>
  <c r="L181" i="2"/>
  <c r="L178" i="2"/>
  <c r="L177" i="2"/>
  <c r="L176" i="2"/>
  <c r="L175" i="2"/>
  <c r="L174" i="2"/>
  <c r="L171" i="2"/>
  <c r="L169" i="2"/>
  <c r="L168" i="2"/>
  <c r="L167" i="2"/>
  <c r="L164" i="2"/>
  <c r="L163" i="2"/>
  <c r="L161" i="2"/>
  <c r="L160" i="2"/>
  <c r="L159" i="2"/>
  <c r="L157" i="2"/>
  <c r="L156" i="2"/>
  <c r="L155" i="2"/>
  <c r="L154" i="2"/>
  <c r="L153" i="2"/>
  <c r="L152" i="2"/>
  <c r="L151" i="2"/>
  <c r="L148" i="2"/>
  <c r="L147" i="2"/>
  <c r="L146" i="2"/>
  <c r="L145" i="2"/>
  <c r="L144" i="2"/>
  <c r="L143" i="2"/>
  <c r="L141" i="2"/>
  <c r="L140" i="2"/>
  <c r="L139" i="2"/>
  <c r="L138" i="2"/>
  <c r="L137" i="2"/>
  <c r="L134" i="2"/>
  <c r="L133" i="2"/>
  <c r="L132" i="2"/>
  <c r="L131" i="2"/>
  <c r="L130" i="2"/>
  <c r="L129" i="2"/>
  <c r="L127" i="2"/>
  <c r="L125" i="2"/>
  <c r="L124" i="2"/>
  <c r="L123" i="2"/>
  <c r="L122" i="2"/>
  <c r="L121" i="2"/>
  <c r="L120" i="2"/>
  <c r="L118" i="2"/>
  <c r="L117" i="2"/>
  <c r="L116" i="2"/>
  <c r="L115" i="2"/>
  <c r="L114" i="2"/>
  <c r="L113" i="2"/>
  <c r="L111" i="2"/>
  <c r="L110" i="2"/>
  <c r="L109" i="2"/>
  <c r="L108" i="2"/>
  <c r="L107" i="2"/>
  <c r="L104" i="2"/>
  <c r="L103" i="2"/>
  <c r="L102" i="2"/>
  <c r="L101" i="2"/>
  <c r="L100" i="2"/>
  <c r="L99" i="2"/>
  <c r="L97" i="2"/>
  <c r="L96" i="2"/>
  <c r="L95" i="2"/>
  <c r="L94" i="2"/>
  <c r="L93" i="2"/>
  <c r="M93" i="2" s="1"/>
  <c r="L92" i="2"/>
  <c r="M92" i="2" s="1"/>
  <c r="L91" i="2"/>
  <c r="M91" i="2" s="1"/>
  <c r="L90" i="2"/>
  <c r="M90" i="2" s="1"/>
  <c r="L88" i="2"/>
  <c r="M88" i="2" s="1"/>
  <c r="L87" i="2"/>
  <c r="M87" i="2" s="1"/>
  <c r="L85" i="2"/>
  <c r="M85" i="2" s="1"/>
  <c r="L84" i="2"/>
  <c r="M84" i="2" s="1"/>
  <c r="L83" i="2"/>
  <c r="M83" i="2" s="1"/>
  <c r="L80" i="2"/>
  <c r="M80" i="2" s="1"/>
  <c r="L78" i="2"/>
  <c r="M78" i="2" s="1"/>
  <c r="L77" i="2"/>
  <c r="M77" i="2" s="1"/>
  <c r="L74" i="2"/>
  <c r="M74" i="2" s="1"/>
  <c r="L73" i="2"/>
  <c r="M73" i="2" s="1"/>
  <c r="L72" i="2"/>
  <c r="M72" i="2" s="1"/>
  <c r="L71" i="2"/>
  <c r="M71" i="2" s="1"/>
  <c r="L70" i="2"/>
  <c r="M70" i="2" s="1"/>
  <c r="L69" i="2"/>
  <c r="M69" i="2" s="1"/>
  <c r="L66" i="2"/>
  <c r="M66" i="2" s="1"/>
  <c r="L64" i="2"/>
  <c r="M64" i="2" s="1"/>
  <c r="J993" i="2"/>
  <c r="J992" i="2"/>
  <c r="J991" i="2"/>
  <c r="J990" i="2"/>
  <c r="J988" i="2"/>
  <c r="J987" i="2"/>
  <c r="J986" i="2"/>
  <c r="J985" i="2"/>
  <c r="J984" i="2"/>
  <c r="K984" i="2" s="1"/>
  <c r="J983" i="2"/>
  <c r="K983" i="2" s="1"/>
  <c r="J981" i="2"/>
  <c r="K981" i="2" s="1"/>
  <c r="J980" i="2"/>
  <c r="K980" i="2" s="1"/>
  <c r="J979" i="2"/>
  <c r="K979" i="2" s="1"/>
  <c r="J978" i="2"/>
  <c r="K978" i="2" s="1"/>
  <c r="J977" i="2"/>
  <c r="K977" i="2" s="1"/>
  <c r="J974" i="2"/>
  <c r="K974" i="2" s="1"/>
  <c r="J973" i="2"/>
  <c r="K973" i="2" s="1"/>
  <c r="J972" i="2"/>
  <c r="K972" i="2" s="1"/>
  <c r="J971" i="2"/>
  <c r="K971" i="2" s="1"/>
  <c r="J970" i="2"/>
  <c r="K970" i="2" s="1"/>
  <c r="J969" i="2"/>
  <c r="K969" i="2" s="1"/>
  <c r="J967" i="2"/>
  <c r="K967" i="2" s="1"/>
  <c r="J966" i="2"/>
  <c r="K966" i="2" s="1"/>
  <c r="J965" i="2"/>
  <c r="K965" i="2" s="1"/>
  <c r="J964" i="2"/>
  <c r="K964" i="2" s="1"/>
  <c r="J963" i="2"/>
  <c r="K963" i="2" s="1"/>
  <c r="J962" i="2"/>
  <c r="K962" i="2" s="1"/>
  <c r="J961" i="2"/>
  <c r="K961" i="2" s="1"/>
  <c r="J960" i="2"/>
  <c r="K960" i="2" s="1"/>
  <c r="J958" i="2"/>
  <c r="K958" i="2" s="1"/>
  <c r="J957" i="2"/>
  <c r="K957" i="2" s="1"/>
  <c r="J956" i="2"/>
  <c r="K956" i="2" s="1"/>
  <c r="J955" i="2"/>
  <c r="K955" i="2" s="1"/>
  <c r="J954" i="2"/>
  <c r="K954" i="2" s="1"/>
  <c r="J953" i="2"/>
  <c r="K953" i="2" s="1"/>
  <c r="J951" i="2"/>
  <c r="K951" i="2" s="1"/>
  <c r="J950" i="2"/>
  <c r="K950" i="2" s="1"/>
  <c r="J949" i="2"/>
  <c r="K949" i="2" s="1"/>
  <c r="J948" i="2"/>
  <c r="K948" i="2" s="1"/>
  <c r="J947" i="2"/>
  <c r="K947" i="2" s="1"/>
  <c r="J944" i="2"/>
  <c r="K944" i="2" s="1"/>
  <c r="J943" i="2"/>
  <c r="K943" i="2" s="1"/>
  <c r="J942" i="2"/>
  <c r="K942" i="2" s="1"/>
  <c r="J941" i="2"/>
  <c r="K941" i="2" s="1"/>
  <c r="J940" i="2"/>
  <c r="K940" i="2" s="1"/>
  <c r="J939" i="2"/>
  <c r="K939" i="2" s="1"/>
  <c r="J937" i="2"/>
  <c r="K937" i="2" s="1"/>
  <c r="J936" i="2"/>
  <c r="K936" i="2" s="1"/>
  <c r="J935" i="2"/>
  <c r="K935" i="2" s="1"/>
  <c r="J934" i="2"/>
  <c r="K934" i="2" s="1"/>
  <c r="J932" i="2"/>
  <c r="K932" i="2" s="1"/>
  <c r="J931" i="2"/>
  <c r="K931" i="2" s="1"/>
  <c r="J927" i="2"/>
  <c r="K927" i="2" s="1"/>
  <c r="J926" i="2"/>
  <c r="K926" i="2" s="1"/>
  <c r="J923" i="2"/>
  <c r="K923" i="2" s="1"/>
  <c r="J921" i="2"/>
  <c r="K921" i="2" s="1"/>
  <c r="J918" i="2"/>
  <c r="K918" i="2" s="1"/>
  <c r="J917" i="2"/>
  <c r="K917" i="2" s="1"/>
  <c r="J898" i="2"/>
  <c r="J883" i="2"/>
  <c r="J865" i="2"/>
  <c r="J681" i="2"/>
  <c r="K681" i="2" s="1"/>
  <c r="J669" i="2"/>
  <c r="K669" i="2" s="1"/>
  <c r="J653" i="2"/>
  <c r="K653" i="2" s="1"/>
  <c r="J609" i="2"/>
  <c r="K609" i="2" s="1"/>
  <c r="J590" i="2"/>
  <c r="K590" i="2" s="1"/>
  <c r="J580" i="2"/>
  <c r="K580" i="2" s="1"/>
  <c r="J564" i="2"/>
  <c r="K564" i="2" s="1"/>
  <c r="J557" i="2"/>
  <c r="K557" i="2" s="1"/>
  <c r="J546" i="2"/>
  <c r="K546" i="2" s="1"/>
  <c r="J535" i="2"/>
  <c r="K535" i="2" s="1"/>
  <c r="J533" i="2"/>
  <c r="K533" i="2" s="1"/>
  <c r="J484" i="2"/>
  <c r="K484" i="2" s="1"/>
  <c r="J468" i="2"/>
  <c r="K468" i="2" s="1"/>
  <c r="J467" i="2"/>
  <c r="K467" i="2" s="1"/>
  <c r="J464" i="2"/>
  <c r="K464" i="2" s="1"/>
  <c r="J463" i="2"/>
  <c r="K463" i="2" s="1"/>
  <c r="J462" i="2"/>
  <c r="K462" i="2" s="1"/>
  <c r="J461" i="2"/>
  <c r="K461" i="2" s="1"/>
  <c r="J460" i="2"/>
  <c r="K460" i="2" s="1"/>
  <c r="J459" i="2"/>
  <c r="K459" i="2" s="1"/>
  <c r="J457" i="2"/>
  <c r="K457" i="2" s="1"/>
  <c r="J456" i="2"/>
  <c r="K456" i="2" s="1"/>
  <c r="J455" i="2"/>
  <c r="K455" i="2" s="1"/>
  <c r="J454" i="2"/>
  <c r="K454" i="2" s="1"/>
  <c r="J453" i="2"/>
  <c r="K453" i="2" s="1"/>
  <c r="J452" i="2"/>
  <c r="K452" i="2" s="1"/>
  <c r="J450" i="2"/>
  <c r="K450" i="2" s="1"/>
  <c r="J448" i="2"/>
  <c r="K448" i="2" s="1"/>
  <c r="J447" i="2"/>
  <c r="K447" i="2" s="1"/>
  <c r="J446" i="2"/>
  <c r="K446" i="2" s="1"/>
  <c r="J445" i="2"/>
  <c r="K445" i="2" s="1"/>
  <c r="J444" i="2"/>
  <c r="K444" i="2" s="1"/>
  <c r="J443" i="2"/>
  <c r="K443" i="2" s="1"/>
  <c r="J441" i="2"/>
  <c r="K441" i="2" s="1"/>
  <c r="J440" i="2"/>
  <c r="K440" i="2" s="1"/>
  <c r="J439" i="2"/>
  <c r="K439" i="2" s="1"/>
  <c r="J438" i="2"/>
  <c r="K438" i="2" s="1"/>
  <c r="J437" i="2"/>
  <c r="K437" i="2" s="1"/>
  <c r="J434" i="2"/>
  <c r="K434" i="2" s="1"/>
  <c r="J433" i="2"/>
  <c r="K433" i="2" s="1"/>
  <c r="J432" i="2"/>
  <c r="K432" i="2" s="1"/>
  <c r="J431" i="2"/>
  <c r="K431" i="2" s="1"/>
  <c r="J429" i="2"/>
  <c r="K429" i="2" s="1"/>
  <c r="J426" i="2"/>
  <c r="K426" i="2" s="1"/>
  <c r="J425" i="2"/>
  <c r="K425" i="2" s="1"/>
  <c r="J424" i="2"/>
  <c r="K424" i="2" s="1"/>
  <c r="J422" i="2"/>
  <c r="K422" i="2" s="1"/>
  <c r="J421" i="2"/>
  <c r="K421" i="2" s="1"/>
  <c r="J420" i="2"/>
  <c r="K420" i="2" s="1"/>
  <c r="J418" i="2"/>
  <c r="K418" i="2" s="1"/>
  <c r="J417" i="2"/>
  <c r="K417" i="2" s="1"/>
  <c r="J416" i="2"/>
  <c r="K416" i="2" s="1"/>
  <c r="J415" i="2"/>
  <c r="K415" i="2" s="1"/>
  <c r="J414" i="2"/>
  <c r="K414" i="2" s="1"/>
  <c r="J413" i="2"/>
  <c r="K413" i="2" s="1"/>
  <c r="J411" i="2"/>
  <c r="K411" i="2" s="1"/>
  <c r="J410" i="2"/>
  <c r="K410" i="2" s="1"/>
  <c r="J409" i="2"/>
  <c r="K409" i="2" s="1"/>
  <c r="J408" i="2"/>
  <c r="K408" i="2" s="1"/>
  <c r="J407" i="2"/>
  <c r="K407" i="2" s="1"/>
  <c r="J404" i="2"/>
  <c r="K404" i="2" s="1"/>
  <c r="J402" i="2"/>
  <c r="K402" i="2" s="1"/>
  <c r="J401" i="2"/>
  <c r="K401" i="2" s="1"/>
  <c r="J400" i="2"/>
  <c r="K400" i="2" s="1"/>
  <c r="J399" i="2"/>
  <c r="K399" i="2" s="1"/>
  <c r="J397" i="2"/>
  <c r="K397" i="2" s="1"/>
  <c r="J396" i="2"/>
  <c r="K396" i="2" s="1"/>
  <c r="J395" i="2"/>
  <c r="K395" i="2" s="1"/>
  <c r="J394" i="2"/>
  <c r="K394" i="2" s="1"/>
  <c r="J393" i="2"/>
  <c r="J392" i="2"/>
  <c r="J391" i="2"/>
  <c r="J390" i="2"/>
  <c r="J388" i="2"/>
  <c r="J387" i="2"/>
  <c r="J386" i="2"/>
  <c r="J385" i="2"/>
  <c r="J384" i="2"/>
  <c r="J383" i="2"/>
  <c r="J381" i="2"/>
  <c r="J380" i="2"/>
  <c r="J379" i="2"/>
  <c r="J378" i="2"/>
  <c r="J377" i="2"/>
  <c r="J374" i="2"/>
  <c r="J373" i="2"/>
  <c r="J372" i="2"/>
  <c r="J371" i="2"/>
  <c r="J370" i="2"/>
  <c r="J369" i="2"/>
  <c r="J367" i="2"/>
  <c r="J366" i="2"/>
  <c r="J365" i="2"/>
  <c r="J364" i="2"/>
  <c r="J363" i="2"/>
  <c r="K363" i="2" s="1"/>
  <c r="J362" i="2"/>
  <c r="K362" i="2" s="1"/>
  <c r="J361" i="2"/>
  <c r="K361" i="2" s="1"/>
  <c r="J360" i="2"/>
  <c r="K360" i="2" s="1"/>
  <c r="J358" i="2"/>
  <c r="K358" i="2" s="1"/>
  <c r="J357" i="2"/>
  <c r="K357" i="2" s="1"/>
  <c r="J356" i="2"/>
  <c r="K356" i="2" s="1"/>
  <c r="J355" i="2"/>
  <c r="K355" i="2" s="1"/>
  <c r="J354" i="2"/>
  <c r="K354" i="2" s="1"/>
  <c r="J353" i="2"/>
  <c r="K353" i="2" s="1"/>
  <c r="J351" i="2"/>
  <c r="K351" i="2" s="1"/>
  <c r="J350" i="2"/>
  <c r="K350" i="2" s="1"/>
  <c r="J349" i="2"/>
  <c r="K349" i="2" s="1"/>
  <c r="J348" i="2"/>
  <c r="K348" i="2" s="1"/>
  <c r="J347" i="2"/>
  <c r="K347" i="2" s="1"/>
  <c r="J344" i="2"/>
  <c r="K344" i="2" s="1"/>
  <c r="J343" i="2"/>
  <c r="K343" i="2" s="1"/>
  <c r="J342" i="2"/>
  <c r="K342" i="2" s="1"/>
  <c r="J341" i="2"/>
  <c r="K341" i="2" s="1"/>
  <c r="J340" i="2"/>
  <c r="K340" i="2" s="1"/>
  <c r="J339" i="2"/>
  <c r="K339" i="2" s="1"/>
  <c r="J337" i="2"/>
  <c r="K337" i="2" s="1"/>
  <c r="J336" i="2"/>
  <c r="K336" i="2" s="1"/>
  <c r="J335" i="2"/>
  <c r="K335" i="2" s="1"/>
  <c r="J334" i="2"/>
  <c r="K334" i="2" s="1"/>
  <c r="J321" i="2"/>
  <c r="K321" i="2" s="1"/>
  <c r="J304" i="2"/>
  <c r="J303" i="2"/>
  <c r="K303" i="2" s="1"/>
  <c r="J302" i="2"/>
  <c r="K302" i="2" s="1"/>
  <c r="J301" i="2"/>
  <c r="K301" i="2" s="1"/>
  <c r="J300" i="2"/>
  <c r="K300" i="2" s="1"/>
  <c r="J298" i="2"/>
  <c r="K298" i="2" s="1"/>
  <c r="J297" i="2"/>
  <c r="K297" i="2" s="1"/>
  <c r="J296" i="2"/>
  <c r="K296" i="2" s="1"/>
  <c r="J295" i="2"/>
  <c r="K295" i="2" s="1"/>
  <c r="J294" i="2"/>
  <c r="K294" i="2" s="1"/>
  <c r="J293" i="2"/>
  <c r="K293" i="2" s="1"/>
  <c r="J291" i="2"/>
  <c r="K291" i="2" s="1"/>
  <c r="J290" i="2"/>
  <c r="K290" i="2" s="1"/>
  <c r="J289" i="2"/>
  <c r="K289" i="2" s="1"/>
  <c r="J288" i="2"/>
  <c r="K288" i="2" s="1"/>
  <c r="J287" i="2"/>
  <c r="K287" i="2" s="1"/>
  <c r="J284" i="2"/>
  <c r="K284" i="2" s="1"/>
  <c r="J283" i="2"/>
  <c r="K283" i="2" s="1"/>
  <c r="J282" i="2"/>
  <c r="K282" i="2" s="1"/>
  <c r="J281" i="2"/>
  <c r="K281" i="2" s="1"/>
  <c r="J280" i="2"/>
  <c r="K280" i="2" s="1"/>
  <c r="J279" i="2"/>
  <c r="K279" i="2" s="1"/>
  <c r="J277" i="2"/>
  <c r="K277" i="2" s="1"/>
  <c r="J275" i="2"/>
  <c r="K275" i="2" s="1"/>
  <c r="J274" i="2"/>
  <c r="K274" i="2" s="1"/>
  <c r="J273" i="2"/>
  <c r="K273" i="2" s="1"/>
  <c r="J272" i="2"/>
  <c r="K272" i="2" s="1"/>
  <c r="J271" i="2"/>
  <c r="K271" i="2" s="1"/>
  <c r="J270" i="2"/>
  <c r="K270" i="2" s="1"/>
  <c r="J268" i="2"/>
  <c r="K268" i="2" s="1"/>
  <c r="J267" i="2"/>
  <c r="K267" i="2" s="1"/>
  <c r="J266" i="2"/>
  <c r="K266" i="2" s="1"/>
  <c r="J265" i="2"/>
  <c r="K265" i="2" s="1"/>
  <c r="J264" i="2"/>
  <c r="K264" i="2" s="1"/>
  <c r="J263" i="2"/>
  <c r="K263" i="2" s="1"/>
  <c r="J261" i="2"/>
  <c r="K261" i="2" s="1"/>
  <c r="J260" i="2"/>
  <c r="K260" i="2" s="1"/>
  <c r="J259" i="2"/>
  <c r="K259" i="2" s="1"/>
  <c r="J258" i="2"/>
  <c r="K258" i="2" s="1"/>
  <c r="J257" i="2"/>
  <c r="K257" i="2" s="1"/>
  <c r="J254" i="2"/>
  <c r="K254" i="2" s="1"/>
  <c r="J253" i="2"/>
  <c r="K253" i="2" s="1"/>
  <c r="J252" i="2"/>
  <c r="K252" i="2" s="1"/>
  <c r="J251" i="2"/>
  <c r="K251" i="2" s="1"/>
  <c r="J250" i="2"/>
  <c r="K250" i="2" s="1"/>
  <c r="J249" i="2"/>
  <c r="K249" i="2" s="1"/>
  <c r="J247" i="2"/>
  <c r="K247" i="2" s="1"/>
  <c r="J246" i="2"/>
  <c r="K246" i="2" s="1"/>
  <c r="J245" i="2"/>
  <c r="K245" i="2" s="1"/>
  <c r="J244" i="2"/>
  <c r="K244" i="2" s="1"/>
  <c r="J243" i="2"/>
  <c r="K243" i="2" s="1"/>
  <c r="J242" i="2"/>
  <c r="K242" i="2" s="1"/>
  <c r="J241" i="2"/>
  <c r="K241" i="2" s="1"/>
  <c r="J240" i="2"/>
  <c r="K240" i="2" s="1"/>
  <c r="J238" i="2"/>
  <c r="K238" i="2" s="1"/>
  <c r="J237" i="2"/>
  <c r="K237" i="2" s="1"/>
  <c r="J236" i="2"/>
  <c r="K236" i="2" s="1"/>
  <c r="J235" i="2"/>
  <c r="K235" i="2" s="1"/>
  <c r="J234" i="2"/>
  <c r="K234" i="2" s="1"/>
  <c r="J233" i="2"/>
  <c r="K233" i="2" s="1"/>
  <c r="J231" i="2"/>
  <c r="K231" i="2" s="1"/>
  <c r="J230" i="2"/>
  <c r="K230" i="2" s="1"/>
  <c r="J229" i="2"/>
  <c r="K229" i="2" s="1"/>
  <c r="J228" i="2"/>
  <c r="K228" i="2" s="1"/>
  <c r="J227" i="2"/>
  <c r="K227" i="2" s="1"/>
  <c r="J224" i="2"/>
  <c r="K224" i="2" s="1"/>
  <c r="J222" i="2"/>
  <c r="K222" i="2" s="1"/>
  <c r="J221" i="2"/>
  <c r="K221" i="2" s="1"/>
  <c r="J220" i="2"/>
  <c r="K220" i="2" s="1"/>
  <c r="J219" i="2"/>
  <c r="K219" i="2" s="1"/>
  <c r="J217" i="2"/>
  <c r="K217" i="2" s="1"/>
  <c r="J216" i="2"/>
  <c r="K216" i="2" s="1"/>
  <c r="J215" i="2"/>
  <c r="K215" i="2" s="1"/>
  <c r="J214" i="2"/>
  <c r="K214" i="2" s="1"/>
  <c r="J213" i="2"/>
  <c r="K213" i="2" s="1"/>
  <c r="J211" i="2"/>
  <c r="K211" i="2" s="1"/>
  <c r="J208" i="2"/>
  <c r="K208" i="2" s="1"/>
  <c r="J207" i="2"/>
  <c r="K207" i="2" s="1"/>
  <c r="J206" i="2"/>
  <c r="K206" i="2" s="1"/>
  <c r="J205" i="2"/>
  <c r="K205" i="2" s="1"/>
  <c r="J203" i="2"/>
  <c r="K203" i="2" s="1"/>
  <c r="J201" i="2"/>
  <c r="K201" i="2" s="1"/>
  <c r="J200" i="2"/>
  <c r="K200" i="2" s="1"/>
  <c r="J199" i="2"/>
  <c r="K199" i="2" s="1"/>
  <c r="J198" i="2"/>
  <c r="K198" i="2" s="1"/>
  <c r="J197" i="2"/>
  <c r="K197" i="2" s="1"/>
  <c r="J194" i="2"/>
  <c r="K194" i="2" s="1"/>
  <c r="J193" i="2"/>
  <c r="K193" i="2" s="1"/>
  <c r="J192" i="2"/>
  <c r="K192" i="2" s="1"/>
  <c r="J191" i="2"/>
  <c r="K191" i="2" s="1"/>
  <c r="J189" i="2"/>
  <c r="K189" i="2" s="1"/>
  <c r="J187" i="2"/>
  <c r="K187" i="2" s="1"/>
  <c r="J186" i="2"/>
  <c r="K186" i="2" s="1"/>
  <c r="J185" i="2"/>
  <c r="K185" i="2" s="1"/>
  <c r="J184" i="2"/>
  <c r="K184" i="2" s="1"/>
  <c r="J183" i="2"/>
  <c r="K183" i="2" s="1"/>
  <c r="J182" i="2"/>
  <c r="K182" i="2" s="1"/>
  <c r="J181" i="2"/>
  <c r="K181" i="2" s="1"/>
  <c r="J178" i="2"/>
  <c r="K178" i="2" s="1"/>
  <c r="J177" i="2"/>
  <c r="K177" i="2" s="1"/>
  <c r="J176" i="2"/>
  <c r="K176" i="2" s="1"/>
  <c r="J175" i="2"/>
  <c r="K175" i="2" s="1"/>
  <c r="J174" i="2"/>
  <c r="K174" i="2" s="1"/>
  <c r="J171" i="2"/>
  <c r="K171" i="2" s="1"/>
  <c r="J169" i="2"/>
  <c r="K169" i="2" s="1"/>
  <c r="J168" i="2"/>
  <c r="K168" i="2" s="1"/>
  <c r="J167" i="2"/>
  <c r="K167" i="2" s="1"/>
  <c r="J164" i="2"/>
  <c r="K164" i="2" s="1"/>
  <c r="J163" i="2"/>
  <c r="K163" i="2" s="1"/>
  <c r="J161" i="2"/>
  <c r="K161" i="2" s="1"/>
  <c r="J160" i="2"/>
  <c r="K160" i="2" s="1"/>
  <c r="J159" i="2"/>
  <c r="K159" i="2" s="1"/>
  <c r="J157" i="2"/>
  <c r="K157" i="2" s="1"/>
  <c r="J156" i="2"/>
  <c r="K156" i="2" s="1"/>
  <c r="J155" i="2"/>
  <c r="K155" i="2" s="1"/>
  <c r="J154" i="2"/>
  <c r="K154" i="2" s="1"/>
  <c r="J153" i="2"/>
  <c r="K153" i="2" s="1"/>
  <c r="J152" i="2"/>
  <c r="K152" i="2" s="1"/>
  <c r="J151" i="2"/>
  <c r="K151" i="2" s="1"/>
  <c r="J148" i="2"/>
  <c r="K148" i="2" s="1"/>
  <c r="J147" i="2"/>
  <c r="K147" i="2" s="1"/>
  <c r="J146" i="2"/>
  <c r="K146" i="2" s="1"/>
  <c r="J145" i="2"/>
  <c r="K145" i="2" s="1"/>
  <c r="J144" i="2"/>
  <c r="K144" i="2" s="1"/>
  <c r="J143" i="2"/>
  <c r="K143" i="2" s="1"/>
  <c r="J141" i="2"/>
  <c r="K141" i="2" s="1"/>
  <c r="J140" i="2"/>
  <c r="K140" i="2" s="1"/>
  <c r="J139" i="2"/>
  <c r="K139" i="2" s="1"/>
  <c r="J138" i="2"/>
  <c r="K138" i="2" s="1"/>
  <c r="J137" i="2"/>
  <c r="K137" i="2" s="1"/>
  <c r="J134" i="2"/>
  <c r="K134" i="2" s="1"/>
  <c r="J133" i="2"/>
  <c r="K133" i="2" s="1"/>
  <c r="J132" i="2"/>
  <c r="K132" i="2" s="1"/>
  <c r="J131" i="2"/>
  <c r="K131" i="2" s="1"/>
  <c r="J130" i="2"/>
  <c r="K130" i="2" s="1"/>
  <c r="J129" i="2"/>
  <c r="K129" i="2" s="1"/>
  <c r="J127" i="2"/>
  <c r="K127" i="2" s="1"/>
  <c r="J125" i="2"/>
  <c r="K125" i="2" s="1"/>
  <c r="J124" i="2"/>
  <c r="K124" i="2" s="1"/>
  <c r="J123" i="2"/>
  <c r="K123" i="2" s="1"/>
  <c r="J122" i="2"/>
  <c r="K122" i="2" s="1"/>
  <c r="J121" i="2"/>
  <c r="K121" i="2" s="1"/>
  <c r="J120" i="2"/>
  <c r="K120" i="2" s="1"/>
  <c r="J118" i="2"/>
  <c r="K118" i="2" s="1"/>
  <c r="J117" i="2"/>
  <c r="K117" i="2" s="1"/>
  <c r="J116" i="2"/>
  <c r="K116" i="2" s="1"/>
  <c r="J115" i="2"/>
  <c r="K115" i="2" s="1"/>
  <c r="J114" i="2"/>
  <c r="K114" i="2" s="1"/>
  <c r="J113" i="2"/>
  <c r="K113" i="2" s="1"/>
  <c r="J111" i="2"/>
  <c r="K111" i="2" s="1"/>
  <c r="J110" i="2"/>
  <c r="K110" i="2" s="1"/>
  <c r="J109" i="2"/>
  <c r="K109" i="2" s="1"/>
  <c r="J108" i="2"/>
  <c r="K108" i="2" s="1"/>
  <c r="J107" i="2"/>
  <c r="K107" i="2" s="1"/>
  <c r="J104" i="2"/>
  <c r="K104" i="2" s="1"/>
  <c r="J103" i="2"/>
  <c r="K103" i="2" s="1"/>
  <c r="J102" i="2"/>
  <c r="K102" i="2" s="1"/>
  <c r="J101" i="2"/>
  <c r="K101" i="2" s="1"/>
  <c r="J100" i="2"/>
  <c r="K100" i="2" s="1"/>
  <c r="J99" i="2"/>
  <c r="K99" i="2" s="1"/>
  <c r="J97" i="2"/>
  <c r="K97" i="2" s="1"/>
  <c r="J96" i="2"/>
  <c r="K96" i="2" s="1"/>
  <c r="J95" i="2"/>
  <c r="K95" i="2" s="1"/>
  <c r="J94" i="2"/>
  <c r="K94" i="2" s="1"/>
  <c r="J93" i="2"/>
  <c r="K93" i="2" s="1"/>
  <c r="J92" i="2"/>
  <c r="K92" i="2" s="1"/>
  <c r="J91" i="2"/>
  <c r="K91" i="2" s="1"/>
  <c r="J90" i="2"/>
  <c r="K90" i="2" s="1"/>
  <c r="J88" i="2"/>
  <c r="K88" i="2" s="1"/>
  <c r="J87" i="2"/>
  <c r="K87" i="2" s="1"/>
  <c r="J85" i="2"/>
  <c r="K85" i="2" s="1"/>
  <c r="J84" i="2"/>
  <c r="K84" i="2" s="1"/>
  <c r="J83" i="2"/>
  <c r="K83" i="2" s="1"/>
  <c r="J80" i="2"/>
  <c r="K80" i="2" s="1"/>
  <c r="J78" i="2"/>
  <c r="K78" i="2" s="1"/>
  <c r="J77" i="2"/>
  <c r="K77" i="2" s="1"/>
  <c r="J74" i="2"/>
  <c r="K74" i="2" s="1"/>
  <c r="J73" i="2"/>
  <c r="K73" i="2" s="1"/>
  <c r="J72" i="2"/>
  <c r="K72" i="2" s="1"/>
  <c r="J71" i="2"/>
  <c r="K71" i="2" s="1"/>
  <c r="J70" i="2"/>
  <c r="K70" i="2" s="1"/>
  <c r="J69" i="2"/>
  <c r="K69" i="2" s="1"/>
  <c r="J67" i="2"/>
  <c r="K67" i="2" s="1"/>
  <c r="J66" i="2"/>
  <c r="K66" i="2" s="1"/>
  <c r="J64" i="2"/>
  <c r="K64" i="2" s="1"/>
  <c r="J914" i="2"/>
  <c r="K914" i="2" s="1"/>
  <c r="J913" i="2"/>
  <c r="K913" i="2" s="1"/>
  <c r="J912" i="2"/>
  <c r="K912" i="2" s="1"/>
  <c r="J911" i="2"/>
  <c r="K911" i="2" s="1"/>
  <c r="J910" i="2"/>
  <c r="K910" i="2" s="1"/>
  <c r="J909" i="2"/>
  <c r="K909" i="2" s="1"/>
  <c r="J907" i="2"/>
  <c r="K907" i="2" s="1"/>
  <c r="J906" i="2"/>
  <c r="K906" i="2" s="1"/>
  <c r="J905" i="2"/>
  <c r="K905" i="2" s="1"/>
  <c r="J904" i="2"/>
  <c r="J451" i="2"/>
  <c r="J430" i="2"/>
  <c r="J427" i="2"/>
  <c r="J423" i="2"/>
  <c r="J403" i="2"/>
  <c r="J276" i="2"/>
  <c r="J212" i="2"/>
  <c r="J210" i="2"/>
  <c r="J204" i="2"/>
  <c r="J190" i="2"/>
  <c r="J180" i="2"/>
  <c r="J173" i="2"/>
  <c r="J170" i="2"/>
  <c r="J126" i="2"/>
  <c r="J86" i="2"/>
  <c r="J81" i="2"/>
  <c r="J79" i="2"/>
  <c r="J65" i="2"/>
  <c r="J18" i="2"/>
  <c r="G36" i="3"/>
  <c r="F36" i="3"/>
  <c r="E36" i="3"/>
  <c r="H3" i="3"/>
  <c r="I4" i="4"/>
  <c r="G13" i="5" s="1"/>
  <c r="I8" i="4"/>
  <c r="G17" i="5" s="1"/>
  <c r="I9" i="4"/>
  <c r="G18" i="5" s="1"/>
  <c r="I11" i="4"/>
  <c r="G20" i="5" s="1"/>
  <c r="I12" i="4"/>
  <c r="G21" i="5" s="1"/>
  <c r="I16" i="4"/>
  <c r="G25" i="5" s="1"/>
  <c r="I17" i="4"/>
  <c r="G26" i="5" s="1"/>
  <c r="I19" i="4"/>
  <c r="G28" i="5" s="1"/>
  <c r="I20" i="4"/>
  <c r="G29" i="5" s="1"/>
  <c r="I21" i="4"/>
  <c r="G30" i="5" s="1"/>
  <c r="I23" i="4"/>
  <c r="G32" i="5" s="1"/>
  <c r="I24" i="4"/>
  <c r="G33" i="5" s="1"/>
  <c r="I25" i="4"/>
  <c r="G34" i="5" s="1"/>
  <c r="I28" i="4"/>
  <c r="G37" i="5" s="1"/>
  <c r="I29" i="4"/>
  <c r="G38" i="5" s="1"/>
  <c r="I30" i="4"/>
  <c r="G39" i="5" s="1"/>
  <c r="I31" i="4"/>
  <c r="G40" i="5" s="1"/>
  <c r="I32" i="4"/>
  <c r="G41" i="5" s="1"/>
  <c r="I33" i="4"/>
  <c r="G42" i="5" s="1"/>
  <c r="I34" i="4"/>
  <c r="G43" i="5" s="1"/>
  <c r="B44" i="5"/>
  <c r="A44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I36" i="3"/>
  <c r="D36" i="3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4" i="1"/>
  <c r="J4" i="1" s="1"/>
  <c r="P993" i="2"/>
  <c r="P992" i="2"/>
  <c r="P991" i="2"/>
  <c r="P990" i="2"/>
  <c r="P989" i="2"/>
  <c r="P988" i="2"/>
  <c r="P987" i="2"/>
  <c r="P986" i="2"/>
  <c r="P985" i="2"/>
  <c r="P984" i="2"/>
  <c r="P983" i="2"/>
  <c r="P982" i="2"/>
  <c r="P981" i="2"/>
  <c r="P980" i="2"/>
  <c r="P979" i="2"/>
  <c r="P978" i="2"/>
  <c r="P977" i="2"/>
  <c r="P976" i="2"/>
  <c r="P975" i="2"/>
  <c r="P974" i="2"/>
  <c r="P973" i="2"/>
  <c r="P972" i="2"/>
  <c r="P971" i="2"/>
  <c r="P970" i="2"/>
  <c r="P969" i="2"/>
  <c r="P968" i="2"/>
  <c r="P967" i="2"/>
  <c r="P966" i="2"/>
  <c r="P965" i="2"/>
  <c r="P964" i="2"/>
  <c r="P963" i="2"/>
  <c r="P962" i="2"/>
  <c r="P961" i="2"/>
  <c r="P960" i="2"/>
  <c r="P959" i="2"/>
  <c r="P958" i="2"/>
  <c r="P957" i="2"/>
  <c r="P956" i="2"/>
  <c r="P955" i="2"/>
  <c r="P954" i="2"/>
  <c r="P953" i="2"/>
  <c r="P952" i="2"/>
  <c r="P951" i="2"/>
  <c r="P950" i="2"/>
  <c r="P949" i="2"/>
  <c r="P948" i="2"/>
  <c r="P947" i="2"/>
  <c r="P946" i="2"/>
  <c r="P945" i="2"/>
  <c r="P944" i="2"/>
  <c r="P943" i="2"/>
  <c r="P942" i="2"/>
  <c r="P941" i="2"/>
  <c r="P940" i="2"/>
  <c r="P939" i="2"/>
  <c r="P938" i="2"/>
  <c r="P937" i="2"/>
  <c r="P936" i="2"/>
  <c r="P935" i="2"/>
  <c r="P934" i="2"/>
  <c r="P933" i="2"/>
  <c r="P932" i="2"/>
  <c r="P931" i="2"/>
  <c r="P930" i="2"/>
  <c r="P929" i="2"/>
  <c r="P928" i="2"/>
  <c r="P927" i="2"/>
  <c r="P926" i="2"/>
  <c r="P925" i="2"/>
  <c r="P924" i="2"/>
  <c r="P923" i="2"/>
  <c r="P922" i="2"/>
  <c r="P921" i="2"/>
  <c r="P920" i="2"/>
  <c r="P919" i="2"/>
  <c r="P918" i="2"/>
  <c r="P917" i="2"/>
  <c r="P916" i="2"/>
  <c r="P915" i="2"/>
  <c r="P914" i="2"/>
  <c r="P913" i="2"/>
  <c r="P912" i="2"/>
  <c r="P911" i="2"/>
  <c r="P910" i="2"/>
  <c r="P909" i="2"/>
  <c r="P908" i="2"/>
  <c r="P907" i="2"/>
  <c r="P906" i="2"/>
  <c r="P905" i="2"/>
  <c r="P904" i="2"/>
  <c r="P903" i="2"/>
  <c r="P902" i="2"/>
  <c r="P901" i="2"/>
  <c r="P900" i="2"/>
  <c r="P899" i="2"/>
  <c r="P898" i="2"/>
  <c r="P897" i="2"/>
  <c r="P896" i="2"/>
  <c r="P895" i="2"/>
  <c r="P894" i="2"/>
  <c r="P893" i="2"/>
  <c r="P892" i="2"/>
  <c r="P891" i="2"/>
  <c r="P890" i="2"/>
  <c r="P889" i="2"/>
  <c r="P888" i="2"/>
  <c r="P887" i="2"/>
  <c r="P886" i="2"/>
  <c r="P885" i="2"/>
  <c r="P884" i="2"/>
  <c r="P883" i="2"/>
  <c r="P882" i="2"/>
  <c r="P881" i="2"/>
  <c r="P880" i="2"/>
  <c r="P879" i="2"/>
  <c r="P878" i="2"/>
  <c r="P877" i="2"/>
  <c r="P876" i="2"/>
  <c r="P875" i="2"/>
  <c r="P874" i="2"/>
  <c r="P873" i="2"/>
  <c r="P872" i="2"/>
  <c r="P871" i="2"/>
  <c r="P870" i="2"/>
  <c r="P869" i="2"/>
  <c r="P868" i="2"/>
  <c r="P867" i="2"/>
  <c r="P866" i="2"/>
  <c r="P865" i="2"/>
  <c r="P864" i="2"/>
  <c r="P863" i="2"/>
  <c r="P862" i="2"/>
  <c r="P861" i="2"/>
  <c r="P860" i="2"/>
  <c r="P859" i="2"/>
  <c r="P858" i="2"/>
  <c r="P857" i="2"/>
  <c r="P856" i="2"/>
  <c r="P855" i="2"/>
  <c r="P854" i="2"/>
  <c r="P853" i="2"/>
  <c r="P852" i="2"/>
  <c r="P851" i="2"/>
  <c r="P850" i="2"/>
  <c r="P849" i="2"/>
  <c r="P848" i="2"/>
  <c r="P847" i="2"/>
  <c r="P846" i="2"/>
  <c r="P845" i="2"/>
  <c r="P844" i="2"/>
  <c r="P843" i="2"/>
  <c r="P842" i="2"/>
  <c r="P841" i="2"/>
  <c r="P840" i="2"/>
  <c r="P839" i="2"/>
  <c r="P838" i="2"/>
  <c r="P837" i="2"/>
  <c r="P836" i="2"/>
  <c r="P835" i="2"/>
  <c r="P834" i="2"/>
  <c r="P833" i="2"/>
  <c r="P832" i="2"/>
  <c r="P831" i="2"/>
  <c r="P830" i="2"/>
  <c r="P829" i="2"/>
  <c r="P828" i="2"/>
  <c r="P827" i="2"/>
  <c r="P826" i="2"/>
  <c r="P825" i="2"/>
  <c r="P824" i="2"/>
  <c r="P823" i="2"/>
  <c r="P822" i="2"/>
  <c r="P821" i="2"/>
  <c r="P820" i="2"/>
  <c r="P819" i="2"/>
  <c r="P818" i="2"/>
  <c r="P817" i="2"/>
  <c r="P816" i="2"/>
  <c r="P815" i="2"/>
  <c r="P814" i="2"/>
  <c r="P813" i="2"/>
  <c r="P812" i="2"/>
  <c r="P811" i="2"/>
  <c r="P810" i="2"/>
  <c r="P809" i="2"/>
  <c r="P808" i="2"/>
  <c r="P807" i="2"/>
  <c r="P806" i="2"/>
  <c r="P805" i="2"/>
  <c r="P804" i="2"/>
  <c r="P803" i="2"/>
  <c r="P802" i="2"/>
  <c r="P801" i="2"/>
  <c r="P800" i="2"/>
  <c r="P799" i="2"/>
  <c r="P798" i="2"/>
  <c r="P797" i="2"/>
  <c r="P796" i="2"/>
  <c r="P795" i="2"/>
  <c r="P794" i="2"/>
  <c r="P793" i="2"/>
  <c r="P792" i="2"/>
  <c r="P791" i="2"/>
  <c r="P790" i="2"/>
  <c r="P789" i="2"/>
  <c r="P788" i="2"/>
  <c r="P787" i="2"/>
  <c r="P786" i="2"/>
  <c r="P785" i="2"/>
  <c r="P784" i="2"/>
  <c r="P783" i="2"/>
  <c r="P782" i="2"/>
  <c r="P781" i="2"/>
  <c r="P780" i="2"/>
  <c r="P779" i="2"/>
  <c r="P778" i="2"/>
  <c r="P777" i="2"/>
  <c r="P776" i="2"/>
  <c r="P775" i="2"/>
  <c r="P774" i="2"/>
  <c r="P773" i="2"/>
  <c r="P772" i="2"/>
  <c r="P771" i="2"/>
  <c r="P770" i="2"/>
  <c r="P769" i="2"/>
  <c r="P768" i="2"/>
  <c r="P767" i="2"/>
  <c r="P766" i="2"/>
  <c r="P765" i="2"/>
  <c r="P764" i="2"/>
  <c r="P763" i="2"/>
  <c r="P762" i="2"/>
  <c r="P761" i="2"/>
  <c r="P760" i="2"/>
  <c r="P759" i="2"/>
  <c r="P758" i="2"/>
  <c r="P757" i="2"/>
  <c r="P756" i="2"/>
  <c r="P755" i="2"/>
  <c r="P754" i="2"/>
  <c r="P753" i="2"/>
  <c r="P752" i="2"/>
  <c r="P751" i="2"/>
  <c r="P750" i="2"/>
  <c r="P749" i="2"/>
  <c r="P748" i="2"/>
  <c r="P747" i="2"/>
  <c r="P746" i="2"/>
  <c r="P745" i="2"/>
  <c r="P744" i="2"/>
  <c r="P743" i="2"/>
  <c r="P742" i="2"/>
  <c r="P741" i="2"/>
  <c r="P740" i="2"/>
  <c r="P739" i="2"/>
  <c r="P738" i="2"/>
  <c r="P737" i="2"/>
  <c r="P736" i="2"/>
  <c r="P735" i="2"/>
  <c r="P734" i="2"/>
  <c r="P733" i="2"/>
  <c r="P732" i="2"/>
  <c r="P731" i="2"/>
  <c r="P730" i="2"/>
  <c r="P729" i="2"/>
  <c r="P728" i="2"/>
  <c r="P727" i="2"/>
  <c r="P726" i="2"/>
  <c r="P725" i="2"/>
  <c r="P724" i="2"/>
  <c r="P723" i="2"/>
  <c r="P722" i="2"/>
  <c r="P721" i="2"/>
  <c r="P720" i="2"/>
  <c r="P719" i="2"/>
  <c r="P718" i="2"/>
  <c r="P717" i="2"/>
  <c r="P716" i="2"/>
  <c r="P715" i="2"/>
  <c r="P714" i="2"/>
  <c r="P713" i="2"/>
  <c r="P712" i="2"/>
  <c r="P711" i="2"/>
  <c r="P710" i="2"/>
  <c r="P709" i="2"/>
  <c r="P708" i="2"/>
  <c r="P707" i="2"/>
  <c r="P706" i="2"/>
  <c r="P705" i="2"/>
  <c r="P704" i="2"/>
  <c r="P703" i="2"/>
  <c r="P702" i="2"/>
  <c r="P701" i="2"/>
  <c r="P700" i="2"/>
  <c r="P699" i="2"/>
  <c r="P698" i="2"/>
  <c r="P697" i="2"/>
  <c r="P696" i="2"/>
  <c r="P695" i="2"/>
  <c r="P694" i="2"/>
  <c r="P693" i="2"/>
  <c r="P692" i="2"/>
  <c r="P691" i="2"/>
  <c r="P690" i="2"/>
  <c r="P689" i="2"/>
  <c r="P688" i="2"/>
  <c r="P687" i="2"/>
  <c r="P686" i="2"/>
  <c r="P685" i="2"/>
  <c r="P684" i="2"/>
  <c r="P683" i="2"/>
  <c r="P682" i="2"/>
  <c r="P681" i="2"/>
  <c r="P680" i="2"/>
  <c r="P679" i="2"/>
  <c r="P678" i="2"/>
  <c r="P677" i="2"/>
  <c r="P676" i="2"/>
  <c r="P675" i="2"/>
  <c r="P674" i="2"/>
  <c r="P673" i="2"/>
  <c r="P672" i="2"/>
  <c r="P671" i="2"/>
  <c r="P670" i="2"/>
  <c r="P669" i="2"/>
  <c r="P668" i="2"/>
  <c r="P667" i="2"/>
  <c r="P666" i="2"/>
  <c r="P665" i="2"/>
  <c r="P664" i="2"/>
  <c r="P663" i="2"/>
  <c r="P662" i="2"/>
  <c r="P661" i="2"/>
  <c r="P660" i="2"/>
  <c r="P659" i="2"/>
  <c r="P658" i="2"/>
  <c r="P657" i="2"/>
  <c r="P656" i="2"/>
  <c r="P655" i="2"/>
  <c r="P654" i="2"/>
  <c r="P653" i="2"/>
  <c r="P652" i="2"/>
  <c r="P651" i="2"/>
  <c r="P650" i="2"/>
  <c r="P649" i="2"/>
  <c r="P648" i="2"/>
  <c r="P647" i="2"/>
  <c r="P646" i="2"/>
  <c r="P645" i="2"/>
  <c r="P644" i="2"/>
  <c r="P643" i="2"/>
  <c r="P642" i="2"/>
  <c r="P641" i="2"/>
  <c r="P640" i="2"/>
  <c r="P639" i="2"/>
  <c r="P638" i="2"/>
  <c r="P637" i="2"/>
  <c r="P636" i="2"/>
  <c r="P635" i="2"/>
  <c r="P634" i="2"/>
  <c r="P633" i="2"/>
  <c r="P632" i="2"/>
  <c r="P631" i="2"/>
  <c r="P630" i="2"/>
  <c r="P629" i="2"/>
  <c r="P628" i="2"/>
  <c r="P627" i="2"/>
  <c r="P626" i="2"/>
  <c r="P625" i="2"/>
  <c r="P624" i="2"/>
  <c r="P623" i="2"/>
  <c r="P622" i="2"/>
  <c r="P621" i="2"/>
  <c r="P620" i="2"/>
  <c r="P619" i="2"/>
  <c r="P618" i="2"/>
  <c r="P617" i="2"/>
  <c r="P616" i="2"/>
  <c r="P615" i="2"/>
  <c r="P614" i="2"/>
  <c r="P613" i="2"/>
  <c r="P612" i="2"/>
  <c r="P611" i="2"/>
  <c r="P610" i="2"/>
  <c r="P609" i="2"/>
  <c r="P608" i="2"/>
  <c r="P607" i="2"/>
  <c r="P606" i="2"/>
  <c r="P605" i="2"/>
  <c r="P604" i="2"/>
  <c r="P603" i="2"/>
  <c r="P602" i="2"/>
  <c r="P601" i="2"/>
  <c r="P600" i="2"/>
  <c r="P599" i="2"/>
  <c r="P598" i="2"/>
  <c r="P597" i="2"/>
  <c r="P596" i="2"/>
  <c r="P595" i="2"/>
  <c r="P594" i="2"/>
  <c r="P593" i="2"/>
  <c r="P592" i="2"/>
  <c r="P591" i="2"/>
  <c r="P590" i="2"/>
  <c r="P589" i="2"/>
  <c r="P588" i="2"/>
  <c r="P587" i="2"/>
  <c r="P586" i="2"/>
  <c r="P585" i="2"/>
  <c r="P584" i="2"/>
  <c r="P583" i="2"/>
  <c r="P582" i="2"/>
  <c r="P581" i="2"/>
  <c r="P580" i="2"/>
  <c r="P579" i="2"/>
  <c r="P578" i="2"/>
  <c r="P577" i="2"/>
  <c r="P576" i="2"/>
  <c r="P575" i="2"/>
  <c r="P574" i="2"/>
  <c r="P573" i="2"/>
  <c r="P572" i="2"/>
  <c r="P571" i="2"/>
  <c r="P570" i="2"/>
  <c r="P569" i="2"/>
  <c r="P568" i="2"/>
  <c r="P567" i="2"/>
  <c r="P566" i="2"/>
  <c r="P565" i="2"/>
  <c r="P564" i="2"/>
  <c r="P563" i="2"/>
  <c r="P562" i="2"/>
  <c r="P561" i="2"/>
  <c r="P560" i="2"/>
  <c r="P559" i="2"/>
  <c r="P558" i="2"/>
  <c r="P557" i="2"/>
  <c r="P556" i="2"/>
  <c r="P555" i="2"/>
  <c r="P554" i="2"/>
  <c r="P553" i="2"/>
  <c r="P552" i="2"/>
  <c r="P551" i="2"/>
  <c r="P550" i="2"/>
  <c r="P549" i="2"/>
  <c r="P548" i="2"/>
  <c r="P547" i="2"/>
  <c r="P546" i="2"/>
  <c r="P545" i="2"/>
  <c r="P544" i="2"/>
  <c r="P543" i="2"/>
  <c r="P542" i="2"/>
  <c r="P541" i="2"/>
  <c r="P540" i="2"/>
  <c r="P539" i="2"/>
  <c r="P538" i="2"/>
  <c r="P537" i="2"/>
  <c r="P536" i="2"/>
  <c r="P535" i="2"/>
  <c r="P534" i="2"/>
  <c r="P533" i="2"/>
  <c r="P532" i="2"/>
  <c r="P531" i="2"/>
  <c r="P530" i="2"/>
  <c r="P529" i="2"/>
  <c r="P528" i="2"/>
  <c r="P527" i="2"/>
  <c r="P526" i="2"/>
  <c r="P525" i="2"/>
  <c r="P524" i="2"/>
  <c r="P523" i="2"/>
  <c r="P522" i="2"/>
  <c r="P521" i="2"/>
  <c r="P520" i="2"/>
  <c r="P519" i="2"/>
  <c r="P518" i="2"/>
  <c r="P517" i="2"/>
  <c r="P516" i="2"/>
  <c r="P515" i="2"/>
  <c r="P514" i="2"/>
  <c r="P513" i="2"/>
  <c r="P512" i="2"/>
  <c r="P511" i="2"/>
  <c r="P510" i="2"/>
  <c r="P509" i="2"/>
  <c r="P508" i="2"/>
  <c r="P507" i="2"/>
  <c r="P506" i="2"/>
  <c r="P505" i="2"/>
  <c r="P504" i="2"/>
  <c r="P503" i="2"/>
  <c r="P502" i="2"/>
  <c r="P501" i="2"/>
  <c r="P500" i="2"/>
  <c r="P499" i="2"/>
  <c r="P498" i="2"/>
  <c r="P497" i="2"/>
  <c r="P496" i="2"/>
  <c r="P495" i="2"/>
  <c r="P494" i="2"/>
  <c r="P493" i="2"/>
  <c r="P492" i="2"/>
  <c r="P491" i="2"/>
  <c r="P490" i="2"/>
  <c r="P489" i="2"/>
  <c r="P488" i="2"/>
  <c r="P487" i="2"/>
  <c r="P486" i="2"/>
  <c r="P485" i="2"/>
  <c r="P484" i="2"/>
  <c r="P483" i="2"/>
  <c r="P482" i="2"/>
  <c r="P481" i="2"/>
  <c r="P480" i="2"/>
  <c r="P479" i="2"/>
  <c r="P478" i="2"/>
  <c r="P477" i="2"/>
  <c r="P476" i="2"/>
  <c r="P475" i="2"/>
  <c r="P474" i="2"/>
  <c r="P473" i="2"/>
  <c r="P472" i="2"/>
  <c r="P471" i="2"/>
  <c r="P470" i="2"/>
  <c r="P469" i="2"/>
  <c r="P468" i="2"/>
  <c r="P467" i="2"/>
  <c r="P466" i="2"/>
  <c r="P465" i="2"/>
  <c r="P464" i="2"/>
  <c r="P463" i="2"/>
  <c r="P462" i="2"/>
  <c r="P461" i="2"/>
  <c r="P460" i="2"/>
  <c r="P459" i="2"/>
  <c r="P458" i="2"/>
  <c r="P457" i="2"/>
  <c r="P456" i="2"/>
  <c r="P455" i="2"/>
  <c r="P454" i="2"/>
  <c r="P453" i="2"/>
  <c r="P452" i="2"/>
  <c r="P451" i="2"/>
  <c r="P450" i="2"/>
  <c r="P449" i="2"/>
  <c r="P448" i="2"/>
  <c r="P447" i="2"/>
  <c r="P446" i="2"/>
  <c r="P445" i="2"/>
  <c r="P444" i="2"/>
  <c r="P443" i="2"/>
  <c r="P442" i="2"/>
  <c r="P441" i="2"/>
  <c r="P440" i="2"/>
  <c r="P439" i="2"/>
  <c r="P438" i="2"/>
  <c r="P437" i="2"/>
  <c r="P436" i="2"/>
  <c r="P435" i="2"/>
  <c r="P434" i="2"/>
  <c r="P433" i="2"/>
  <c r="P432" i="2"/>
  <c r="P431" i="2"/>
  <c r="P430" i="2"/>
  <c r="P429" i="2"/>
  <c r="P428" i="2"/>
  <c r="P427" i="2"/>
  <c r="P426" i="2"/>
  <c r="P425" i="2"/>
  <c r="P424" i="2"/>
  <c r="P423" i="2"/>
  <c r="P422" i="2"/>
  <c r="P421" i="2"/>
  <c r="P420" i="2"/>
  <c r="P419" i="2"/>
  <c r="P418" i="2"/>
  <c r="P417" i="2"/>
  <c r="P416" i="2"/>
  <c r="P415" i="2"/>
  <c r="P414" i="2"/>
  <c r="P413" i="2"/>
  <c r="P412" i="2"/>
  <c r="P411" i="2"/>
  <c r="P410" i="2"/>
  <c r="P409" i="2"/>
  <c r="P408" i="2"/>
  <c r="P407" i="2"/>
  <c r="P406" i="2"/>
  <c r="P405" i="2"/>
  <c r="P404" i="2"/>
  <c r="P403" i="2"/>
  <c r="P402" i="2"/>
  <c r="P401" i="2"/>
  <c r="P400" i="2"/>
  <c r="P399" i="2"/>
  <c r="P398" i="2"/>
  <c r="P397" i="2"/>
  <c r="P396" i="2"/>
  <c r="P395" i="2"/>
  <c r="P394" i="2"/>
  <c r="P393" i="2"/>
  <c r="P392" i="2"/>
  <c r="P391" i="2"/>
  <c r="P390" i="2"/>
  <c r="P389" i="2"/>
  <c r="P388" i="2"/>
  <c r="P387" i="2"/>
  <c r="P386" i="2"/>
  <c r="P385" i="2"/>
  <c r="P384" i="2"/>
  <c r="P383" i="2"/>
  <c r="P382" i="2"/>
  <c r="P381" i="2"/>
  <c r="P380" i="2"/>
  <c r="P379" i="2"/>
  <c r="P378" i="2"/>
  <c r="P377" i="2"/>
  <c r="P376" i="2"/>
  <c r="P375" i="2"/>
  <c r="P374" i="2"/>
  <c r="P373" i="2"/>
  <c r="P372" i="2"/>
  <c r="P371" i="2"/>
  <c r="P370" i="2"/>
  <c r="P369" i="2"/>
  <c r="P368" i="2"/>
  <c r="P367" i="2"/>
  <c r="P366" i="2"/>
  <c r="P365" i="2"/>
  <c r="P364" i="2"/>
  <c r="P363" i="2"/>
  <c r="P362" i="2"/>
  <c r="P361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K851" i="2" l="1"/>
  <c r="M850" i="2"/>
  <c r="K849" i="2"/>
  <c r="M847" i="2"/>
  <c r="K846" i="2"/>
  <c r="K845" i="2"/>
  <c r="M844" i="2"/>
  <c r="O903" i="2"/>
  <c r="O902" i="2"/>
  <c r="O901" i="2"/>
  <c r="O900" i="2"/>
  <c r="O898" i="2"/>
  <c r="O897" i="2"/>
  <c r="O896" i="2"/>
  <c r="O895" i="2"/>
  <c r="O894" i="2"/>
  <c r="O893" i="2"/>
  <c r="O891" i="2"/>
  <c r="O890" i="2"/>
  <c r="O889" i="2"/>
  <c r="O888" i="2"/>
  <c r="O887" i="2"/>
  <c r="O884" i="2"/>
  <c r="O883" i="2"/>
  <c r="O882" i="2"/>
  <c r="O881" i="2"/>
  <c r="O880" i="2"/>
  <c r="O879" i="2"/>
  <c r="O877" i="2"/>
  <c r="O876" i="2"/>
  <c r="O875" i="2"/>
  <c r="O874" i="2"/>
  <c r="O873" i="2"/>
  <c r="O872" i="2"/>
  <c r="O871" i="2"/>
  <c r="O870" i="2"/>
  <c r="O868" i="2"/>
  <c r="O867" i="2"/>
  <c r="O866" i="2"/>
  <c r="O865" i="2"/>
  <c r="O864" i="2"/>
  <c r="O863" i="2"/>
  <c r="O861" i="2"/>
  <c r="O860" i="2"/>
  <c r="O859" i="2"/>
  <c r="O858" i="2"/>
  <c r="O857" i="2"/>
  <c r="O854" i="2"/>
  <c r="O853" i="2"/>
  <c r="O852" i="2"/>
  <c r="O851" i="2"/>
  <c r="O850" i="2"/>
  <c r="O849" i="2"/>
  <c r="O847" i="2"/>
  <c r="O846" i="2"/>
  <c r="O845" i="2"/>
  <c r="O844" i="2"/>
  <c r="M889" i="2"/>
  <c r="M867" i="2"/>
  <c r="K898" i="2"/>
  <c r="K883" i="2"/>
  <c r="K865" i="2"/>
  <c r="O993" i="2"/>
  <c r="K993" i="2"/>
  <c r="K992" i="2"/>
  <c r="K991" i="2"/>
  <c r="K990" i="2"/>
  <c r="K988" i="2"/>
  <c r="K987" i="2"/>
  <c r="K986" i="2"/>
  <c r="K985" i="2"/>
  <c r="H35" i="4" s="1"/>
  <c r="M937" i="2"/>
  <c r="M936" i="2"/>
  <c r="M935" i="2"/>
  <c r="M934" i="2"/>
  <c r="F34" i="4" s="1"/>
  <c r="O925" i="2"/>
  <c r="O924" i="2"/>
  <c r="O923" i="2"/>
  <c r="O921" i="2"/>
  <c r="O920" i="2"/>
  <c r="O919" i="2"/>
  <c r="O918" i="2"/>
  <c r="O917" i="2"/>
  <c r="M932" i="2"/>
  <c r="M931" i="2"/>
  <c r="M928" i="2"/>
  <c r="M927" i="2"/>
  <c r="M926" i="2"/>
  <c r="M923" i="2"/>
  <c r="M921" i="2"/>
  <c r="M918" i="2"/>
  <c r="M917" i="2"/>
  <c r="K693" i="2"/>
  <c r="M692" i="2"/>
  <c r="K691" i="2"/>
  <c r="M690" i="2"/>
  <c r="M688" i="2"/>
  <c r="M687" i="2"/>
  <c r="K686" i="2"/>
  <c r="M685" i="2"/>
  <c r="M684" i="2"/>
  <c r="M681" i="2"/>
  <c r="M680" i="2"/>
  <c r="K679" i="2"/>
  <c r="M678" i="2"/>
  <c r="K677" i="2"/>
  <c r="M674" i="2"/>
  <c r="M673" i="2"/>
  <c r="M672" i="2"/>
  <c r="K671" i="2"/>
  <c r="M670" i="2"/>
  <c r="M669" i="2"/>
  <c r="M667" i="2"/>
  <c r="M666" i="2"/>
  <c r="M686" i="2"/>
  <c r="M679" i="2"/>
  <c r="M677" i="2"/>
  <c r="M663" i="2"/>
  <c r="M626" i="2"/>
  <c r="M619" i="2"/>
  <c r="M584" i="2"/>
  <c r="M582" i="2"/>
  <c r="M575" i="2"/>
  <c r="M566" i="2"/>
  <c r="M559" i="2"/>
  <c r="M522" i="2"/>
  <c r="M283" i="2"/>
  <c r="M282" i="2"/>
  <c r="M281" i="2"/>
  <c r="M280" i="2"/>
  <c r="M279" i="2"/>
  <c r="M277" i="2"/>
  <c r="M275" i="2"/>
  <c r="M274" i="2"/>
  <c r="M273" i="2"/>
  <c r="M272" i="2"/>
  <c r="M271" i="2"/>
  <c r="M270" i="2"/>
  <c r="M268" i="2"/>
  <c r="M267" i="2"/>
  <c r="M266" i="2"/>
  <c r="M265" i="2"/>
  <c r="M264" i="2"/>
  <c r="M263" i="2"/>
  <c r="M261" i="2"/>
  <c r="M260" i="2"/>
  <c r="M259" i="2"/>
  <c r="M258" i="2"/>
  <c r="M257" i="2"/>
  <c r="M254" i="2"/>
  <c r="M253" i="2"/>
  <c r="M252" i="2"/>
  <c r="M251" i="2"/>
  <c r="M250" i="2"/>
  <c r="M249" i="2"/>
  <c r="M247" i="2"/>
  <c r="M246" i="2"/>
  <c r="M245" i="2"/>
  <c r="M244" i="2"/>
  <c r="M243" i="2"/>
  <c r="M242" i="2"/>
  <c r="M241" i="2"/>
  <c r="M240" i="2"/>
  <c r="M238" i="2"/>
  <c r="M237" i="2"/>
  <c r="M236" i="2"/>
  <c r="M235" i="2"/>
  <c r="M234" i="2"/>
  <c r="M233" i="2"/>
  <c r="M231" i="2"/>
  <c r="M230" i="2"/>
  <c r="M229" i="2"/>
  <c r="M228" i="2"/>
  <c r="M227" i="2"/>
  <c r="M224" i="2"/>
  <c r="M222" i="2"/>
  <c r="M221" i="2"/>
  <c r="M220" i="2"/>
  <c r="M219" i="2"/>
  <c r="M217" i="2"/>
  <c r="M216" i="2"/>
  <c r="M215" i="2"/>
  <c r="M214" i="2"/>
  <c r="M213" i="2"/>
  <c r="M211" i="2"/>
  <c r="M208" i="2"/>
  <c r="M207" i="2"/>
  <c r="M206" i="2"/>
  <c r="M205" i="2"/>
  <c r="M203" i="2"/>
  <c r="M201" i="2"/>
  <c r="M200" i="2"/>
  <c r="M199" i="2"/>
  <c r="M198" i="2"/>
  <c r="M197" i="2"/>
  <c r="M194" i="2"/>
  <c r="M193" i="2"/>
  <c r="M192" i="2"/>
  <c r="M191" i="2"/>
  <c r="M189" i="2"/>
  <c r="M187" i="2"/>
  <c r="M186" i="2"/>
  <c r="M185" i="2"/>
  <c r="M184" i="2"/>
  <c r="M183" i="2"/>
  <c r="M182" i="2"/>
  <c r="M181" i="2"/>
  <c r="M178" i="2"/>
  <c r="M177" i="2"/>
  <c r="M176" i="2"/>
  <c r="M175" i="2"/>
  <c r="M174" i="2"/>
  <c r="M171" i="2"/>
  <c r="M169" i="2"/>
  <c r="M168" i="2"/>
  <c r="M167" i="2"/>
  <c r="M164" i="2"/>
  <c r="M163" i="2"/>
  <c r="M161" i="2"/>
  <c r="M160" i="2"/>
  <c r="M159" i="2"/>
  <c r="M157" i="2"/>
  <c r="M156" i="2"/>
  <c r="M155" i="2"/>
  <c r="M154" i="2"/>
  <c r="M153" i="2"/>
  <c r="M152" i="2"/>
  <c r="M151" i="2"/>
  <c r="M148" i="2"/>
  <c r="M147" i="2"/>
  <c r="M146" i="2"/>
  <c r="M145" i="2"/>
  <c r="M144" i="2"/>
  <c r="M143" i="2"/>
  <c r="M141" i="2"/>
  <c r="M140" i="2"/>
  <c r="M139" i="2"/>
  <c r="M138" i="2"/>
  <c r="M137" i="2"/>
  <c r="M134" i="2"/>
  <c r="M133" i="2"/>
  <c r="M132" i="2"/>
  <c r="M131" i="2"/>
  <c r="M130" i="2"/>
  <c r="M129" i="2"/>
  <c r="M127" i="2"/>
  <c r="M125" i="2"/>
  <c r="M124" i="2"/>
  <c r="M123" i="2"/>
  <c r="M122" i="2"/>
  <c r="M121" i="2"/>
  <c r="M120" i="2"/>
  <c r="M118" i="2"/>
  <c r="M117" i="2"/>
  <c r="M116" i="2"/>
  <c r="M115" i="2"/>
  <c r="M114" i="2"/>
  <c r="M113" i="2"/>
  <c r="M111" i="2"/>
  <c r="M110" i="2"/>
  <c r="M109" i="2"/>
  <c r="M108" i="2"/>
  <c r="M107" i="2"/>
  <c r="M104" i="2"/>
  <c r="M103" i="2"/>
  <c r="M102" i="2"/>
  <c r="M101" i="2"/>
  <c r="M100" i="2"/>
  <c r="M99" i="2"/>
  <c r="M97" i="2"/>
  <c r="M96" i="2"/>
  <c r="M95" i="2"/>
  <c r="M94" i="2"/>
  <c r="M223" i="2"/>
  <c r="O162" i="2"/>
  <c r="G8" i="4" s="1"/>
  <c r="F17" i="5" s="1"/>
  <c r="M162" i="2"/>
  <c r="O660" i="2"/>
  <c r="O658" i="2"/>
  <c r="O655" i="2"/>
  <c r="O654" i="2"/>
  <c r="O650" i="2"/>
  <c r="O649" i="2"/>
  <c r="O648" i="2"/>
  <c r="O644" i="2"/>
  <c r="O643" i="2"/>
  <c r="O641" i="2"/>
  <c r="O640" i="2"/>
  <c r="O639" i="2"/>
  <c r="O635" i="2"/>
  <c r="O634" i="2"/>
  <c r="G24" i="4" s="1"/>
  <c r="F33" i="5" s="1"/>
  <c r="O571" i="2"/>
  <c r="O570" i="2"/>
  <c r="O564" i="2"/>
  <c r="O560" i="2"/>
  <c r="O554" i="2"/>
  <c r="O553" i="2"/>
  <c r="O549" i="2"/>
  <c r="O547" i="2"/>
  <c r="O544" i="2"/>
  <c r="G21" i="4" s="1"/>
  <c r="F30" i="5" s="1"/>
  <c r="M933" i="2"/>
  <c r="K930" i="2"/>
  <c r="K928" i="2"/>
  <c r="K925" i="2"/>
  <c r="K924" i="2"/>
  <c r="K920" i="2"/>
  <c r="K919" i="2"/>
  <c r="K903" i="2"/>
  <c r="K902" i="2"/>
  <c r="K901" i="2"/>
  <c r="K900" i="2"/>
  <c r="M898" i="2"/>
  <c r="M897" i="2"/>
  <c r="K896" i="2"/>
  <c r="K895" i="2"/>
  <c r="M894" i="2"/>
  <c r="M893" i="2"/>
  <c r="M891" i="2"/>
  <c r="K890" i="2"/>
  <c r="K889" i="2"/>
  <c r="M888" i="2"/>
  <c r="K887" i="2"/>
  <c r="K884" i="2"/>
  <c r="M883" i="2"/>
  <c r="M882" i="2"/>
  <c r="K881" i="2"/>
  <c r="K880" i="2"/>
  <c r="M879" i="2"/>
  <c r="M877" i="2"/>
  <c r="M876" i="2"/>
  <c r="K875" i="2"/>
  <c r="M874" i="2"/>
  <c r="M873" i="2"/>
  <c r="K872" i="2"/>
  <c r="K871" i="2"/>
  <c r="K870" i="2"/>
  <c r="K868" i="2"/>
  <c r="K867" i="2"/>
  <c r="K866" i="2"/>
  <c r="M865" i="2"/>
  <c r="M864" i="2"/>
  <c r="M863" i="2"/>
  <c r="K861" i="2"/>
  <c r="M860" i="2"/>
  <c r="K859" i="2"/>
  <c r="K858" i="2"/>
  <c r="K857" i="2"/>
  <c r="K854" i="2"/>
  <c r="K853" i="2"/>
  <c r="K852" i="2"/>
  <c r="O992" i="2"/>
  <c r="O991" i="2"/>
  <c r="O990" i="2"/>
  <c r="O988" i="2"/>
  <c r="O987" i="2"/>
  <c r="O986" i="2"/>
  <c r="O985" i="2"/>
  <c r="O984" i="2"/>
  <c r="O983" i="2"/>
  <c r="O981" i="2"/>
  <c r="O980" i="2"/>
  <c r="O979" i="2"/>
  <c r="O978" i="2"/>
  <c r="O977" i="2"/>
  <c r="O974" i="2"/>
  <c r="O973" i="2"/>
  <c r="O972" i="2"/>
  <c r="O971" i="2"/>
  <c r="O970" i="2"/>
  <c r="O969" i="2"/>
  <c r="O967" i="2"/>
  <c r="O966" i="2"/>
  <c r="O965" i="2"/>
  <c r="O964" i="2"/>
  <c r="O963" i="2"/>
  <c r="O962" i="2"/>
  <c r="O961" i="2"/>
  <c r="O960" i="2"/>
  <c r="O958" i="2"/>
  <c r="O957" i="2"/>
  <c r="O956" i="2"/>
  <c r="O955" i="2"/>
  <c r="O954" i="2"/>
  <c r="O953" i="2"/>
  <c r="O951" i="2"/>
  <c r="O950" i="2"/>
  <c r="O949" i="2"/>
  <c r="O948" i="2"/>
  <c r="O947" i="2"/>
  <c r="O944" i="2"/>
  <c r="O943" i="2"/>
  <c r="O942" i="2"/>
  <c r="O941" i="2"/>
  <c r="O940" i="2"/>
  <c r="O939" i="2"/>
  <c r="O937" i="2"/>
  <c r="O936" i="2"/>
  <c r="O935" i="2"/>
  <c r="O934" i="2"/>
  <c r="O933" i="2"/>
  <c r="O932" i="2"/>
  <c r="O931" i="2"/>
  <c r="O930" i="2"/>
  <c r="O928" i="2"/>
  <c r="O927" i="2"/>
  <c r="O926" i="2"/>
  <c r="M464" i="2"/>
  <c r="M463" i="2"/>
  <c r="M462" i="2"/>
  <c r="M461" i="2"/>
  <c r="M460" i="2"/>
  <c r="M459" i="2"/>
  <c r="M457" i="2"/>
  <c r="M456" i="2"/>
  <c r="M455" i="2"/>
  <c r="M454" i="2"/>
  <c r="M453" i="2"/>
  <c r="M452" i="2"/>
  <c r="M450" i="2"/>
  <c r="M448" i="2"/>
  <c r="M447" i="2"/>
  <c r="M446" i="2"/>
  <c r="M445" i="2"/>
  <c r="M444" i="2"/>
  <c r="M443" i="2"/>
  <c r="M441" i="2"/>
  <c r="M440" i="2"/>
  <c r="M439" i="2"/>
  <c r="M438" i="2"/>
  <c r="M437" i="2"/>
  <c r="M434" i="2"/>
  <c r="M433" i="2"/>
  <c r="M432" i="2"/>
  <c r="M431" i="2"/>
  <c r="M429" i="2"/>
  <c r="M426" i="2"/>
  <c r="M425" i="2"/>
  <c r="M424" i="2"/>
  <c r="M422" i="2"/>
  <c r="M421" i="2"/>
  <c r="M420" i="2"/>
  <c r="M418" i="2"/>
  <c r="M417" i="2"/>
  <c r="M416" i="2"/>
  <c r="M415" i="2"/>
  <c r="M414" i="2"/>
  <c r="M413" i="2"/>
  <c r="M411" i="2"/>
  <c r="M410" i="2"/>
  <c r="M409" i="2"/>
  <c r="M408" i="2"/>
  <c r="M407" i="2"/>
  <c r="M404" i="2"/>
  <c r="M402" i="2"/>
  <c r="M401" i="2"/>
  <c r="M400" i="2"/>
  <c r="M399" i="2"/>
  <c r="M397" i="2"/>
  <c r="M396" i="2"/>
  <c r="M395" i="2"/>
  <c r="M394" i="2"/>
  <c r="M363" i="2"/>
  <c r="M362" i="2"/>
  <c r="M361" i="2"/>
  <c r="M360" i="2"/>
  <c r="M358" i="2"/>
  <c r="M357" i="2"/>
  <c r="M356" i="2"/>
  <c r="M355" i="2"/>
  <c r="M354" i="2"/>
  <c r="M353" i="2"/>
  <c r="M351" i="2"/>
  <c r="M350" i="2"/>
  <c r="M349" i="2"/>
  <c r="M348" i="2"/>
  <c r="M347" i="2"/>
  <c r="M344" i="2"/>
  <c r="M343" i="2"/>
  <c r="M342" i="2"/>
  <c r="M341" i="2"/>
  <c r="M340" i="2"/>
  <c r="M339" i="2"/>
  <c r="M337" i="2"/>
  <c r="M336" i="2"/>
  <c r="M335" i="2"/>
  <c r="M334" i="2"/>
  <c r="M303" i="2"/>
  <c r="M302" i="2"/>
  <c r="M301" i="2"/>
  <c r="M300" i="2"/>
  <c r="M298" i="2"/>
  <c r="M297" i="2"/>
  <c r="M296" i="2"/>
  <c r="M295" i="2"/>
  <c r="M294" i="2"/>
  <c r="M293" i="2"/>
  <c r="M291" i="2"/>
  <c r="M290" i="2"/>
  <c r="M289" i="2"/>
  <c r="M288" i="2"/>
  <c r="M287" i="2"/>
  <c r="M284" i="2"/>
  <c r="K904" i="2"/>
  <c r="K451" i="2"/>
  <c r="K430" i="2"/>
  <c r="K427" i="2"/>
  <c r="H17" i="4" s="1"/>
  <c r="K423" i="2"/>
  <c r="K403" i="2"/>
  <c r="H16" i="4" s="1"/>
  <c r="K276" i="2"/>
  <c r="H12" i="4" s="1"/>
  <c r="K212" i="2"/>
  <c r="K210" i="2"/>
  <c r="K204" i="2"/>
  <c r="K190" i="2"/>
  <c r="H9" i="4" s="1"/>
  <c r="K180" i="2"/>
  <c r="K173" i="2"/>
  <c r="K170" i="2"/>
  <c r="K126" i="2"/>
  <c r="H7" i="4" s="1"/>
  <c r="K86" i="2"/>
  <c r="K81" i="2"/>
  <c r="K79" i="2"/>
  <c r="K65" i="2"/>
  <c r="H5" i="4" s="1"/>
  <c r="K18" i="2"/>
  <c r="L499" i="2"/>
  <c r="J499" i="2"/>
  <c r="K499" i="2" s="1"/>
  <c r="L489" i="2"/>
  <c r="J489" i="2"/>
  <c r="K489" i="2" s="1"/>
  <c r="J317" i="2"/>
  <c r="K317" i="2" s="1"/>
  <c r="L317" i="2"/>
  <c r="J313" i="2"/>
  <c r="L313" i="2"/>
  <c r="J506" i="2"/>
  <c r="K506" i="2" s="1"/>
  <c r="J876" i="2"/>
  <c r="K876" i="2" s="1"/>
  <c r="L644" i="2"/>
  <c r="M644" i="2" s="1"/>
  <c r="L881" i="2"/>
  <c r="M881" i="2" s="1"/>
  <c r="L924" i="2"/>
  <c r="M924" i="2" s="1"/>
  <c r="J223" i="2"/>
  <c r="K223" i="2" s="1"/>
  <c r="H10" i="4" s="1"/>
  <c r="J524" i="2"/>
  <c r="K524" i="2" s="1"/>
  <c r="J549" i="2"/>
  <c r="K549" i="2" s="1"/>
  <c r="J640" i="2"/>
  <c r="K640" i="2" s="1"/>
  <c r="J684" i="2"/>
  <c r="K684" i="2" s="1"/>
  <c r="L328" i="2"/>
  <c r="M328" i="2" s="1"/>
  <c r="L568" i="2"/>
  <c r="M568" i="2" s="1"/>
  <c r="L611" i="2"/>
  <c r="M611" i="2" s="1"/>
  <c r="L664" i="2"/>
  <c r="M664" i="2" s="1"/>
  <c r="L693" i="2"/>
  <c r="M693" i="2" s="1"/>
  <c r="L919" i="2"/>
  <c r="M919" i="2" s="1"/>
  <c r="J497" i="2"/>
  <c r="K497" i="2" s="1"/>
  <c r="J593" i="2"/>
  <c r="K593" i="2" s="1"/>
  <c r="J863" i="2"/>
  <c r="K863" i="2" s="1"/>
  <c r="J891" i="2"/>
  <c r="K891" i="2" s="1"/>
  <c r="L491" i="2"/>
  <c r="M491" i="2" s="1"/>
  <c r="L540" i="2"/>
  <c r="M540" i="2" s="1"/>
  <c r="L852" i="2"/>
  <c r="M852" i="2" s="1"/>
  <c r="L896" i="2"/>
  <c r="M896" i="2" s="1"/>
  <c r="J162" i="2"/>
  <c r="K162" i="2" s="1"/>
  <c r="J36" i="4"/>
  <c r="E4" i="5" s="1"/>
  <c r="K364" i="2"/>
  <c r="K369" i="2"/>
  <c r="K373" i="2"/>
  <c r="K379" i="2"/>
  <c r="K384" i="2"/>
  <c r="K388" i="2"/>
  <c r="K393" i="2"/>
  <c r="K367" i="2"/>
  <c r="K372" i="2"/>
  <c r="K378" i="2"/>
  <c r="K383" i="2"/>
  <c r="K387" i="2"/>
  <c r="K392" i="2"/>
  <c r="M366" i="2"/>
  <c r="M371" i="2"/>
  <c r="M377" i="2"/>
  <c r="M381" i="2"/>
  <c r="M386" i="2"/>
  <c r="M391" i="2"/>
  <c r="O365" i="2"/>
  <c r="O370" i="2"/>
  <c r="O374" i="2"/>
  <c r="O380" i="2"/>
  <c r="O385" i="2"/>
  <c r="O390" i="2"/>
  <c r="M367" i="2"/>
  <c r="M372" i="2"/>
  <c r="M378" i="2"/>
  <c r="M383" i="2"/>
  <c r="M387" i="2"/>
  <c r="M392" i="2"/>
  <c r="O366" i="2"/>
  <c r="O371" i="2"/>
  <c r="O377" i="2"/>
  <c r="O381" i="2"/>
  <c r="O386" i="2"/>
  <c r="O391" i="2"/>
  <c r="K365" i="2"/>
  <c r="K370" i="2"/>
  <c r="K374" i="2"/>
  <c r="K380" i="2"/>
  <c r="K385" i="2"/>
  <c r="K390" i="2"/>
  <c r="M364" i="2"/>
  <c r="M369" i="2"/>
  <c r="M373" i="2"/>
  <c r="M379" i="2"/>
  <c r="M384" i="2"/>
  <c r="M388" i="2"/>
  <c r="M393" i="2"/>
  <c r="O367" i="2"/>
  <c r="O372" i="2"/>
  <c r="O378" i="2"/>
  <c r="O383" i="2"/>
  <c r="O387" i="2"/>
  <c r="O392" i="2"/>
  <c r="K366" i="2"/>
  <c r="K371" i="2"/>
  <c r="K377" i="2"/>
  <c r="K381" i="2"/>
  <c r="K386" i="2"/>
  <c r="K391" i="2"/>
  <c r="M365" i="2"/>
  <c r="M370" i="2"/>
  <c r="M374" i="2"/>
  <c r="M380" i="2"/>
  <c r="M385" i="2"/>
  <c r="M390" i="2"/>
  <c r="O364" i="2"/>
  <c r="O369" i="2"/>
  <c r="O373" i="2"/>
  <c r="O379" i="2"/>
  <c r="O384" i="2"/>
  <c r="O388" i="2"/>
  <c r="O393" i="2"/>
  <c r="L560" i="2"/>
  <c r="M560" i="2" s="1"/>
  <c r="L920" i="2"/>
  <c r="M920" i="2" s="1"/>
  <c r="L925" i="2"/>
  <c r="M925" i="2" s="1"/>
  <c r="L849" i="2"/>
  <c r="M849" i="2" s="1"/>
  <c r="L868" i="2"/>
  <c r="M868" i="2" s="1"/>
  <c r="J503" i="2"/>
  <c r="K503" i="2" s="1"/>
  <c r="L594" i="2"/>
  <c r="M594" i="2" s="1"/>
  <c r="J531" i="2"/>
  <c r="K531" i="2" s="1"/>
  <c r="J632" i="2"/>
  <c r="K632" i="2" s="1"/>
  <c r="J844" i="2"/>
  <c r="K844" i="2" s="1"/>
  <c r="J647" i="2"/>
  <c r="K647" i="2" s="1"/>
  <c r="L859" i="2"/>
  <c r="M859" i="2" s="1"/>
  <c r="J483" i="2"/>
  <c r="K483" i="2" s="1"/>
  <c r="L476" i="2"/>
  <c r="M476" i="2" s="1"/>
  <c r="J486" i="2"/>
  <c r="K486" i="2" s="1"/>
  <c r="J511" i="2"/>
  <c r="K511" i="2" s="1"/>
  <c r="J530" i="2"/>
  <c r="K530" i="2" s="1"/>
  <c r="J553" i="2"/>
  <c r="K553" i="2" s="1"/>
  <c r="J597" i="2"/>
  <c r="K597" i="2" s="1"/>
  <c r="J631" i="2"/>
  <c r="K631" i="2" s="1"/>
  <c r="J655" i="2"/>
  <c r="K655" i="2" s="1"/>
  <c r="J673" i="2"/>
  <c r="K673" i="2" s="1"/>
  <c r="J688" i="2"/>
  <c r="K688" i="2" s="1"/>
  <c r="J847" i="2"/>
  <c r="K847" i="2" s="1"/>
  <c r="L333" i="2"/>
  <c r="M333" i="2" s="1"/>
  <c r="L544" i="2"/>
  <c r="M544" i="2" s="1"/>
  <c r="L573" i="2"/>
  <c r="M573" i="2" s="1"/>
  <c r="L617" i="2"/>
  <c r="M617" i="2" s="1"/>
  <c r="L650" i="2"/>
  <c r="M650" i="2" s="1"/>
  <c r="L858" i="2"/>
  <c r="M858" i="2" s="1"/>
  <c r="L887" i="2"/>
  <c r="M887" i="2" s="1"/>
  <c r="L901" i="2"/>
  <c r="M901" i="2" s="1"/>
  <c r="J309" i="2"/>
  <c r="K309" i="2" s="1"/>
  <c r="J324" i="2"/>
  <c r="K324" i="2" s="1"/>
  <c r="J501" i="2"/>
  <c r="K501" i="2" s="1"/>
  <c r="J515" i="2"/>
  <c r="K515" i="2" s="1"/>
  <c r="J588" i="2"/>
  <c r="K588" i="2" s="1"/>
  <c r="J602" i="2"/>
  <c r="K602" i="2" s="1"/>
  <c r="J660" i="2"/>
  <c r="K660" i="2" s="1"/>
  <c r="L319" i="2"/>
  <c r="M319" i="2" s="1"/>
  <c r="L635" i="2"/>
  <c r="M635" i="2" s="1"/>
  <c r="L872" i="2"/>
  <c r="M872" i="2" s="1"/>
  <c r="J520" i="2"/>
  <c r="K520" i="2" s="1"/>
  <c r="J577" i="2"/>
  <c r="K577" i="2" s="1"/>
  <c r="J606" i="2"/>
  <c r="K606" i="2" s="1"/>
  <c r="J621" i="2"/>
  <c r="K621" i="2" s="1"/>
  <c r="J933" i="2"/>
  <c r="K933" i="2" s="1"/>
  <c r="J661" i="2"/>
  <c r="K661" i="2" s="1"/>
  <c r="J674" i="2"/>
  <c r="K674" i="2" s="1"/>
  <c r="J864" i="2"/>
  <c r="K864" i="2" s="1"/>
  <c r="J897" i="2"/>
  <c r="K897" i="2" s="1"/>
  <c r="L574" i="2"/>
  <c r="M574" i="2" s="1"/>
  <c r="L612" i="2"/>
  <c r="M612" i="2" s="1"/>
  <c r="L641" i="2"/>
  <c r="M641" i="2" s="1"/>
  <c r="L930" i="2"/>
  <c r="M930" i="2" s="1"/>
  <c r="J598" i="2"/>
  <c r="K598" i="2" s="1"/>
  <c r="J877" i="2"/>
  <c r="K877" i="2" s="1"/>
  <c r="J888" i="2"/>
  <c r="K888" i="2" s="1"/>
  <c r="L498" i="2"/>
  <c r="M498" i="2" s="1"/>
  <c r="L512" i="2"/>
  <c r="M512" i="2" s="1"/>
  <c r="L853" i="2"/>
  <c r="M853" i="2" s="1"/>
  <c r="J474" i="2"/>
  <c r="K474" i="2" s="1"/>
  <c r="J579" i="2"/>
  <c r="K579" i="2" s="1"/>
  <c r="L527" i="2"/>
  <c r="M527" i="2" s="1"/>
  <c r="L541" i="2"/>
  <c r="M541" i="2" s="1"/>
  <c r="L900" i="2"/>
  <c r="M900" i="2" s="1"/>
  <c r="J307" i="2"/>
  <c r="K307" i="2" s="1"/>
  <c r="L332" i="2"/>
  <c r="M332" i="2" s="1"/>
  <c r="L846" i="2"/>
  <c r="M846" i="2" s="1"/>
  <c r="L866" i="2"/>
  <c r="M866" i="2" s="1"/>
  <c r="L890" i="2"/>
  <c r="M890" i="2" s="1"/>
  <c r="L323" i="2"/>
  <c r="M323" i="2" s="1"/>
  <c r="J318" i="2"/>
  <c r="K318" i="2" s="1"/>
  <c r="L861" i="2"/>
  <c r="M861" i="2" s="1"/>
  <c r="L875" i="2"/>
  <c r="M875" i="2" s="1"/>
  <c r="L884" i="2"/>
  <c r="M884" i="2" s="1"/>
  <c r="J53" i="2"/>
  <c r="K53" i="2" s="1"/>
  <c r="J327" i="2"/>
  <c r="K327" i="2" s="1"/>
  <c r="L857" i="2"/>
  <c r="M857" i="2" s="1"/>
  <c r="L895" i="2"/>
  <c r="M895" i="2" s="1"/>
  <c r="J312" i="2"/>
  <c r="K312" i="2" s="1"/>
  <c r="L37" i="2"/>
  <c r="M37" i="2" s="1"/>
  <c r="L851" i="2"/>
  <c r="M851" i="2" s="1"/>
  <c r="L871" i="2"/>
  <c r="M871" i="2" s="1"/>
  <c r="L880" i="2"/>
  <c r="M880" i="2" s="1"/>
  <c r="J517" i="2"/>
  <c r="K517" i="2" s="1"/>
  <c r="J528" i="2"/>
  <c r="K528" i="2" s="1"/>
  <c r="J628" i="2"/>
  <c r="K628" i="2" s="1"/>
  <c r="J637" i="2"/>
  <c r="K637" i="2" s="1"/>
  <c r="J666" i="2"/>
  <c r="K666" i="2" s="1"/>
  <c r="J850" i="2"/>
  <c r="K850" i="2" s="1"/>
  <c r="J860" i="2"/>
  <c r="K860" i="2" s="1"/>
  <c r="J894" i="2"/>
  <c r="K894" i="2" s="1"/>
  <c r="L150" i="2"/>
  <c r="M150" i="2" s="1"/>
  <c r="L311" i="2"/>
  <c r="M311" i="2" s="1"/>
  <c r="L331" i="2"/>
  <c r="M331" i="2" s="1"/>
  <c r="L504" i="2"/>
  <c r="M504" i="2" s="1"/>
  <c r="L542" i="2"/>
  <c r="M542" i="2" s="1"/>
  <c r="L551" i="2"/>
  <c r="M551" i="2" s="1"/>
  <c r="L595" i="2"/>
  <c r="M595" i="2" s="1"/>
  <c r="L604" i="2"/>
  <c r="M604" i="2" s="1"/>
  <c r="L642" i="2"/>
  <c r="M642" i="2" s="1"/>
  <c r="L671" i="2"/>
  <c r="M671" i="2" s="1"/>
  <c r="L845" i="2"/>
  <c r="M845" i="2" s="1"/>
  <c r="L854" i="2"/>
  <c r="M854" i="2" s="1"/>
  <c r="J648" i="2"/>
  <c r="K648" i="2" s="1"/>
  <c r="J879" i="2"/>
  <c r="K879" i="2" s="1"/>
  <c r="L306" i="2"/>
  <c r="M306" i="2" s="1"/>
  <c r="L326" i="2"/>
  <c r="M326" i="2" s="1"/>
  <c r="L561" i="2"/>
  <c r="M561" i="2" s="1"/>
  <c r="L613" i="2"/>
  <c r="M613" i="2" s="1"/>
  <c r="L624" i="2"/>
  <c r="M624" i="2" s="1"/>
  <c r="J513" i="2"/>
  <c r="K513" i="2" s="1"/>
  <c r="J571" i="2"/>
  <c r="K571" i="2" s="1"/>
  <c r="J874" i="2"/>
  <c r="K874" i="2" s="1"/>
  <c r="L600" i="2"/>
  <c r="M600" i="2" s="1"/>
  <c r="L657" i="2"/>
  <c r="M657" i="2" s="1"/>
  <c r="J554" i="2"/>
  <c r="K554" i="2" s="1"/>
  <c r="J607" i="2"/>
  <c r="K607" i="2" s="1"/>
  <c r="J627" i="2"/>
  <c r="K627" i="2" s="1"/>
  <c r="J670" i="2"/>
  <c r="K670" i="2" s="1"/>
  <c r="J690" i="2"/>
  <c r="K690" i="2" s="1"/>
  <c r="J873" i="2"/>
  <c r="K873" i="2" s="1"/>
  <c r="J893" i="2"/>
  <c r="K893" i="2" s="1"/>
  <c r="L469" i="2"/>
  <c r="M469" i="2" s="1"/>
  <c r="L478" i="2"/>
  <c r="M478" i="2" s="1"/>
  <c r="L492" i="2"/>
  <c r="M492" i="2" s="1"/>
  <c r="L521" i="2"/>
  <c r="M521" i="2" s="1"/>
  <c r="L589" i="2"/>
  <c r="M589" i="2" s="1"/>
  <c r="L636" i="2"/>
  <c r="M636" i="2" s="1"/>
  <c r="L656" i="2"/>
  <c r="M656" i="2" s="1"/>
  <c r="J550" i="2"/>
  <c r="K550" i="2" s="1"/>
  <c r="J570" i="2"/>
  <c r="K570" i="2" s="1"/>
  <c r="J603" i="2"/>
  <c r="K603" i="2" s="1"/>
  <c r="J623" i="2"/>
  <c r="K623" i="2" s="1"/>
  <c r="J665" i="2"/>
  <c r="K665" i="2" s="1"/>
  <c r="J685" i="2"/>
  <c r="K685" i="2" s="1"/>
  <c r="L471" i="2"/>
  <c r="M471" i="2" s="1"/>
  <c r="L481" i="2"/>
  <c r="M481" i="2" s="1"/>
  <c r="L487" i="2"/>
  <c r="M487" i="2" s="1"/>
  <c r="L507" i="2"/>
  <c r="M507" i="2" s="1"/>
  <c r="L516" i="2"/>
  <c r="M516" i="2" s="1"/>
  <c r="L536" i="2"/>
  <c r="M536" i="2" s="1"/>
  <c r="L583" i="2"/>
  <c r="M583" i="2" s="1"/>
  <c r="L651" i="2"/>
  <c r="M651" i="2" s="1"/>
  <c r="L902" i="2"/>
  <c r="M902" i="2" s="1"/>
  <c r="J545" i="2"/>
  <c r="K545" i="2" s="1"/>
  <c r="J565" i="2"/>
  <c r="K565" i="2" s="1"/>
  <c r="J618" i="2"/>
  <c r="K618" i="2" s="1"/>
  <c r="J680" i="2"/>
  <c r="K680" i="2" s="1"/>
  <c r="J882" i="2"/>
  <c r="K882" i="2" s="1"/>
  <c r="J508" i="2"/>
  <c r="K508" i="2" s="1"/>
  <c r="J662" i="2"/>
  <c r="K662" i="2" s="1"/>
  <c r="L537" i="2"/>
  <c r="M537" i="2" s="1"/>
  <c r="L633" i="2"/>
  <c r="M633" i="2" s="1"/>
  <c r="L691" i="2"/>
  <c r="M691" i="2" s="1"/>
  <c r="L870" i="2"/>
  <c r="M870" i="2" s="1"/>
  <c r="L903" i="2"/>
  <c r="M903" i="2" s="1"/>
  <c r="J485" i="2"/>
  <c r="K485" i="2" s="1"/>
  <c r="J490" i="2"/>
  <c r="K490" i="2" s="1"/>
  <c r="J494" i="2"/>
  <c r="K494" i="2" s="1"/>
  <c r="J500" i="2"/>
  <c r="K500" i="2" s="1"/>
  <c r="J505" i="2"/>
  <c r="K505" i="2" s="1"/>
  <c r="J510" i="2"/>
  <c r="K510" i="2" s="1"/>
  <c r="J514" i="2"/>
  <c r="K514" i="2" s="1"/>
  <c r="J519" i="2"/>
  <c r="K519" i="2" s="1"/>
  <c r="J523" i="2"/>
  <c r="K523" i="2" s="1"/>
  <c r="J529" i="2"/>
  <c r="K529" i="2" s="1"/>
  <c r="J534" i="2"/>
  <c r="K534" i="2" s="1"/>
  <c r="J538" i="2"/>
  <c r="K538" i="2" s="1"/>
  <c r="J543" i="2"/>
  <c r="K543" i="2" s="1"/>
  <c r="J547" i="2"/>
  <c r="K547" i="2" s="1"/>
  <c r="J552" i="2"/>
  <c r="K552" i="2" s="1"/>
  <c r="J558" i="2"/>
  <c r="K558" i="2" s="1"/>
  <c r="J563" i="2"/>
  <c r="K563" i="2" s="1"/>
  <c r="J567" i="2"/>
  <c r="K567" i="2" s="1"/>
  <c r="J572" i="2"/>
  <c r="K572" i="2" s="1"/>
  <c r="J576" i="2"/>
  <c r="K576" i="2" s="1"/>
  <c r="J581" i="2"/>
  <c r="K581" i="2" s="1"/>
  <c r="J587" i="2"/>
  <c r="K587" i="2" s="1"/>
  <c r="J591" i="2"/>
  <c r="K591" i="2" s="1"/>
  <c r="J596" i="2"/>
  <c r="K596" i="2" s="1"/>
  <c r="J601" i="2"/>
  <c r="K601" i="2" s="1"/>
  <c r="J605" i="2"/>
  <c r="K605" i="2" s="1"/>
  <c r="J610" i="2"/>
  <c r="K610" i="2" s="1"/>
  <c r="J614" i="2"/>
  <c r="K614" i="2" s="1"/>
  <c r="J620" i="2"/>
  <c r="K620" i="2" s="1"/>
  <c r="J625" i="2"/>
  <c r="K625" i="2" s="1"/>
  <c r="J630" i="2"/>
  <c r="K630" i="2" s="1"/>
  <c r="J634" i="2"/>
  <c r="K634" i="2" s="1"/>
  <c r="J639" i="2"/>
  <c r="K639" i="2" s="1"/>
  <c r="J643" i="2"/>
  <c r="K643" i="2" s="1"/>
  <c r="J649" i="2"/>
  <c r="K649" i="2" s="1"/>
  <c r="J654" i="2"/>
  <c r="K654" i="2" s="1"/>
  <c r="J658" i="2"/>
  <c r="K658" i="2" s="1"/>
  <c r="J663" i="2"/>
  <c r="K663" i="2" s="1"/>
  <c r="J667" i="2"/>
  <c r="K667" i="2" s="1"/>
  <c r="J672" i="2"/>
  <c r="K672" i="2" s="1"/>
  <c r="J678" i="2"/>
  <c r="K678" i="2" s="1"/>
  <c r="J687" i="2"/>
  <c r="K687" i="2" s="1"/>
  <c r="J692" i="2"/>
  <c r="K692" i="2" s="1"/>
  <c r="J470" i="2"/>
  <c r="K470" i="2" s="1"/>
  <c r="J475" i="2"/>
  <c r="K475" i="2" s="1"/>
  <c r="J480" i="2"/>
  <c r="K480" i="2" s="1"/>
  <c r="J473" i="2"/>
  <c r="K473" i="2" s="1"/>
  <c r="J477" i="2"/>
  <c r="K477" i="2" s="1"/>
  <c r="J482" i="2"/>
  <c r="K482" i="2" s="1"/>
  <c r="J305" i="2"/>
  <c r="K305" i="2" s="1"/>
  <c r="J310" i="2"/>
  <c r="K310" i="2" s="1"/>
  <c r="J314" i="2"/>
  <c r="K314" i="2" s="1"/>
  <c r="J320" i="2"/>
  <c r="K320" i="2" s="1"/>
  <c r="J325" i="2"/>
  <c r="K325" i="2" s="1"/>
  <c r="J330" i="2"/>
  <c r="K330" i="2" s="1"/>
  <c r="J39" i="2"/>
  <c r="K39" i="2" s="1"/>
  <c r="J54" i="2"/>
  <c r="K54" i="2" s="1"/>
  <c r="L43" i="2"/>
  <c r="M43" i="2" s="1"/>
  <c r="L63" i="2"/>
  <c r="M63" i="2" s="1"/>
  <c r="J49" i="2"/>
  <c r="K49" i="2" s="1"/>
  <c r="J58" i="2"/>
  <c r="K58" i="2" s="1"/>
  <c r="L34" i="2"/>
  <c r="M34" i="2" s="1"/>
  <c r="J42" i="2"/>
  <c r="K42" i="2" s="1"/>
  <c r="L57" i="2"/>
  <c r="M57" i="2" s="1"/>
  <c r="J62" i="2"/>
  <c r="K62" i="2" s="1"/>
  <c r="L48" i="2"/>
  <c r="M48" i="2" s="1"/>
  <c r="L10" i="2"/>
  <c r="M10" i="2" s="1"/>
  <c r="J47" i="2"/>
  <c r="K47" i="2" s="1"/>
  <c r="L21" i="2"/>
  <c r="M21" i="2" s="1"/>
  <c r="L31" i="2"/>
  <c r="M31" i="2" s="1"/>
  <c r="L51" i="2"/>
  <c r="M51" i="2" s="1"/>
  <c r="J12" i="2"/>
  <c r="K12" i="2" s="1"/>
  <c r="J24" i="2"/>
  <c r="K24" i="2" s="1"/>
  <c r="J33" i="2"/>
  <c r="K33" i="2" s="1"/>
  <c r="J41" i="2"/>
  <c r="K41" i="2" s="1"/>
  <c r="J61" i="2"/>
  <c r="K61" i="2" s="1"/>
  <c r="J7" i="2"/>
  <c r="K7" i="2" s="1"/>
  <c r="J19" i="2"/>
  <c r="K19" i="2" s="1"/>
  <c r="J28" i="2"/>
  <c r="K28" i="2" s="1"/>
  <c r="J36" i="2"/>
  <c r="K36" i="2" s="1"/>
  <c r="J56" i="2"/>
  <c r="K56" i="2" s="1"/>
  <c r="L5" i="2"/>
  <c r="M5" i="2" s="1"/>
  <c r="L14" i="2"/>
  <c r="M14" i="2" s="1"/>
  <c r="L26" i="2"/>
  <c r="M26" i="2" s="1"/>
  <c r="L35" i="2"/>
  <c r="M35" i="2" s="1"/>
  <c r="L40" i="2"/>
  <c r="M40" i="2" s="1"/>
  <c r="L44" i="2"/>
  <c r="M44" i="2" s="1"/>
  <c r="L50" i="2"/>
  <c r="M50" i="2" s="1"/>
  <c r="L55" i="2"/>
  <c r="M55" i="2" s="1"/>
  <c r="L60" i="2"/>
  <c r="M60" i="2" s="1"/>
  <c r="L32" i="2"/>
  <c r="M32" i="2" s="1"/>
  <c r="L11" i="2"/>
  <c r="M11" i="2" s="1"/>
  <c r="L27" i="2"/>
  <c r="M27" i="2" s="1"/>
  <c r="L6" i="2"/>
  <c r="M6" i="2" s="1"/>
  <c r="L23" i="2"/>
  <c r="M23" i="2" s="1"/>
  <c r="J4" i="2"/>
  <c r="K4" i="2" s="1"/>
  <c r="L17" i="2"/>
  <c r="M17" i="2" s="1"/>
  <c r="L9" i="2"/>
  <c r="M9" i="2" s="1"/>
  <c r="L13" i="2"/>
  <c r="M13" i="2" s="1"/>
  <c r="L20" i="2"/>
  <c r="M20" i="2" s="1"/>
  <c r="L25" i="2"/>
  <c r="M25" i="2" s="1"/>
  <c r="L30" i="2"/>
  <c r="M30" i="2" s="1"/>
  <c r="M503" i="2"/>
  <c r="K487" i="2"/>
  <c r="K498" i="2"/>
  <c r="K507" i="2"/>
  <c r="M508" i="2"/>
  <c r="M499" i="2"/>
  <c r="M489" i="2"/>
  <c r="K493" i="2"/>
  <c r="M307" i="2"/>
  <c r="M312" i="2"/>
  <c r="M318" i="2"/>
  <c r="M327" i="2"/>
  <c r="O304" i="2"/>
  <c r="O309" i="2"/>
  <c r="O313" i="2"/>
  <c r="O319" i="2"/>
  <c r="O324" i="2"/>
  <c r="O328" i="2"/>
  <c r="O333" i="2"/>
  <c r="M317" i="2"/>
  <c r="O311" i="2"/>
  <c r="O331" i="2"/>
  <c r="K323" i="2"/>
  <c r="M304" i="2"/>
  <c r="M309" i="2"/>
  <c r="M324" i="2"/>
  <c r="O310" i="2"/>
  <c r="O314" i="2"/>
  <c r="O320" i="2"/>
  <c r="O325" i="2"/>
  <c r="O330" i="2"/>
  <c r="M310" i="2"/>
  <c r="O307" i="2"/>
  <c r="M325" i="2"/>
  <c r="O305" i="2"/>
  <c r="O327" i="2"/>
  <c r="O318" i="2"/>
  <c r="O306" i="2"/>
  <c r="K304" i="2"/>
  <c r="K313" i="2"/>
  <c r="K319" i="2"/>
  <c r="K328" i="2"/>
  <c r="K333" i="2"/>
  <c r="O321" i="2"/>
  <c r="K332" i="2"/>
  <c r="M314" i="2"/>
  <c r="M321" i="2"/>
  <c r="M313" i="2"/>
  <c r="M305" i="2"/>
  <c r="O326" i="2"/>
  <c r="O317" i="2"/>
  <c r="H27" i="4"/>
  <c r="H11" i="4"/>
  <c r="H30" i="4"/>
  <c r="H14" i="4"/>
  <c r="H6" i="4"/>
  <c r="H29" i="4"/>
  <c r="H34" i="4"/>
  <c r="H26" i="4"/>
  <c r="H28" i="4"/>
  <c r="E4" i="4"/>
  <c r="E6" i="4"/>
  <c r="E9" i="4"/>
  <c r="E21" i="4"/>
  <c r="E23" i="4"/>
  <c r="E24" i="4"/>
  <c r="E25" i="4"/>
  <c r="E28" i="4"/>
  <c r="E30" i="4"/>
  <c r="E31" i="4"/>
  <c r="E33" i="4"/>
  <c r="E34" i="4"/>
  <c r="E35" i="4"/>
  <c r="E3" i="4"/>
  <c r="D12" i="5" s="1"/>
  <c r="E7" i="4"/>
  <c r="E8" i="4"/>
  <c r="E10" i="4"/>
  <c r="E13" i="4"/>
  <c r="E15" i="4"/>
  <c r="E16" i="4"/>
  <c r="E17" i="4"/>
  <c r="E18" i="4"/>
  <c r="E19" i="4"/>
  <c r="E22" i="4"/>
  <c r="E32" i="4"/>
  <c r="G3" i="4"/>
  <c r="F12" i="5" s="1"/>
  <c r="G4" i="4"/>
  <c r="F13" i="5" s="1"/>
  <c r="G5" i="4"/>
  <c r="F14" i="5" s="1"/>
  <c r="G7" i="4"/>
  <c r="F16" i="5" s="1"/>
  <c r="G9" i="4"/>
  <c r="F18" i="5" s="1"/>
  <c r="G10" i="4"/>
  <c r="F19" i="5" s="1"/>
  <c r="G11" i="4"/>
  <c r="F20" i="5" s="1"/>
  <c r="G12" i="4"/>
  <c r="G16" i="4"/>
  <c r="F25" i="5" s="1"/>
  <c r="G17" i="4"/>
  <c r="F26" i="5" s="1"/>
  <c r="G18" i="4"/>
  <c r="F27" i="5" s="1"/>
  <c r="G22" i="4"/>
  <c r="F31" i="5" s="1"/>
  <c r="G23" i="4"/>
  <c r="F32" i="5" s="1"/>
  <c r="G25" i="4"/>
  <c r="F34" i="5" s="1"/>
  <c r="G27" i="4"/>
  <c r="F36" i="5" s="1"/>
  <c r="G28" i="4"/>
  <c r="F37" i="5" s="1"/>
  <c r="G30" i="4"/>
  <c r="F39" i="5" s="1"/>
  <c r="G31" i="4"/>
  <c r="F40" i="5" s="1"/>
  <c r="G32" i="4"/>
  <c r="F41" i="5" s="1"/>
  <c r="G6" i="4"/>
  <c r="F15" i="5" s="1"/>
  <c r="H36" i="3"/>
  <c r="I3" i="4"/>
  <c r="E5" i="4"/>
  <c r="F26" i="4"/>
  <c r="E35" i="5" s="1"/>
  <c r="E26" i="4"/>
  <c r="G26" i="4"/>
  <c r="F35" i="5" s="1"/>
  <c r="E14" i="4"/>
  <c r="G14" i="4"/>
  <c r="F23" i="5" s="1"/>
  <c r="E27" i="4"/>
  <c r="E11" i="4"/>
  <c r="E29" i="4"/>
  <c r="E20" i="4"/>
  <c r="E12" i="4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A4" i="5"/>
  <c r="C12" i="5"/>
  <c r="G35" i="4" l="1"/>
  <c r="F44" i="5" s="1"/>
  <c r="G34" i="4"/>
  <c r="G33" i="4"/>
  <c r="F42" i="5" s="1"/>
  <c r="F14" i="4"/>
  <c r="H8" i="4"/>
  <c r="F12" i="4"/>
  <c r="H33" i="4"/>
  <c r="F33" i="4"/>
  <c r="G15" i="4"/>
  <c r="F24" i="5" s="1"/>
  <c r="H15" i="4"/>
  <c r="H31" i="4"/>
  <c r="H32" i="4"/>
  <c r="H18" i="4"/>
  <c r="H23" i="4"/>
  <c r="H25" i="4"/>
  <c r="H24" i="4"/>
  <c r="H22" i="4"/>
  <c r="H21" i="4"/>
  <c r="H20" i="4"/>
  <c r="H4" i="4"/>
  <c r="H3" i="4"/>
  <c r="G13" i="4"/>
  <c r="F22" i="5" s="1"/>
  <c r="H19" i="4"/>
  <c r="G19" i="4"/>
  <c r="F28" i="5" s="1"/>
  <c r="H13" i="4"/>
  <c r="D16" i="5"/>
  <c r="D18" i="5"/>
  <c r="D27" i="5"/>
  <c r="D22" i="5"/>
  <c r="D40" i="5"/>
  <c r="D33" i="5"/>
  <c r="D15" i="5"/>
  <c r="D28" i="5"/>
  <c r="D42" i="5"/>
  <c r="D29" i="5"/>
  <c r="D36" i="5"/>
  <c r="D14" i="5"/>
  <c r="D41" i="5"/>
  <c r="D26" i="5"/>
  <c r="D19" i="5"/>
  <c r="D44" i="5"/>
  <c r="D39" i="5"/>
  <c r="D32" i="5"/>
  <c r="D13" i="5"/>
  <c r="D21" i="5"/>
  <c r="D24" i="5"/>
  <c r="D34" i="5"/>
  <c r="D38" i="5"/>
  <c r="K26" i="4"/>
  <c r="H35" i="5" s="1"/>
  <c r="D31" i="5"/>
  <c r="D25" i="5"/>
  <c r="D17" i="5"/>
  <c r="D43" i="5"/>
  <c r="D37" i="5"/>
  <c r="D30" i="5"/>
  <c r="G29" i="4"/>
  <c r="F38" i="5" s="1"/>
  <c r="G20" i="4"/>
  <c r="F29" i="5" s="1"/>
  <c r="G12" i="5"/>
  <c r="I36" i="4"/>
  <c r="C4" i="5" s="1"/>
  <c r="E43" i="5"/>
  <c r="D35" i="5"/>
  <c r="D23" i="5"/>
  <c r="D20" i="5"/>
  <c r="E36" i="4"/>
  <c r="G4" i="5" s="1"/>
  <c r="F28" i="4"/>
  <c r="K28" i="4" s="1"/>
  <c r="F35" i="4"/>
  <c r="K35" i="4" s="1"/>
  <c r="F32" i="4"/>
  <c r="F31" i="4"/>
  <c r="F30" i="4"/>
  <c r="K30" i="4" s="1"/>
  <c r="F27" i="4"/>
  <c r="K27" i="4" s="1"/>
  <c r="F25" i="4"/>
  <c r="F24" i="4"/>
  <c r="F21" i="4"/>
  <c r="F19" i="4"/>
  <c r="F18" i="4"/>
  <c r="F17" i="4"/>
  <c r="K17" i="4" s="1"/>
  <c r="F16" i="4"/>
  <c r="K16" i="4" s="1"/>
  <c r="F15" i="4"/>
  <c r="F13" i="4"/>
  <c r="F11" i="4"/>
  <c r="K11" i="4" s="1"/>
  <c r="F10" i="4"/>
  <c r="K10" i="4" s="1"/>
  <c r="F9" i="4"/>
  <c r="K9" i="4" s="1"/>
  <c r="F8" i="4"/>
  <c r="F7" i="4"/>
  <c r="K7" i="4" s="1"/>
  <c r="F6" i="4"/>
  <c r="K6" i="4" s="1"/>
  <c r="F5" i="4"/>
  <c r="K5" i="4" s="1"/>
  <c r="F4" i="4"/>
  <c r="F3" i="4"/>
  <c r="F29" i="4"/>
  <c r="F23" i="4"/>
  <c r="F22" i="4"/>
  <c r="F20" i="4"/>
  <c r="F21" i="5"/>
  <c r="F43" i="5" l="1"/>
  <c r="K34" i="4"/>
  <c r="H43" i="5" s="1"/>
  <c r="E23" i="5"/>
  <c r="K14" i="4"/>
  <c r="H23" i="5" s="1"/>
  <c r="K8" i="4"/>
  <c r="H17" i="5" s="1"/>
  <c r="E21" i="5"/>
  <c r="K12" i="4"/>
  <c r="H21" i="5" s="1"/>
  <c r="K15" i="4"/>
  <c r="H24" i="5" s="1"/>
  <c r="K32" i="4"/>
  <c r="H41" i="5" s="1"/>
  <c r="K33" i="4"/>
  <c r="H42" i="5" s="1"/>
  <c r="E42" i="5"/>
  <c r="K4" i="4"/>
  <c r="H13" i="5" s="1"/>
  <c r="K31" i="4"/>
  <c r="H40" i="5" s="1"/>
  <c r="K21" i="4"/>
  <c r="H30" i="5" s="1"/>
  <c r="K22" i="4"/>
  <c r="H31" i="5" s="1"/>
  <c r="K18" i="4"/>
  <c r="H27" i="5" s="1"/>
  <c r="K23" i="4"/>
  <c r="H32" i="5" s="1"/>
  <c r="K25" i="4"/>
  <c r="H34" i="5" s="1"/>
  <c r="K24" i="4"/>
  <c r="H33" i="5" s="1"/>
  <c r="H36" i="4"/>
  <c r="G7" i="5" s="1"/>
  <c r="K3" i="4"/>
  <c r="K13" i="4"/>
  <c r="H22" i="5" s="1"/>
  <c r="K19" i="4"/>
  <c r="H28" i="5" s="1"/>
  <c r="K20" i="4"/>
  <c r="H29" i="5" s="1"/>
  <c r="K29" i="4"/>
  <c r="H38" i="5" s="1"/>
  <c r="G36" i="4"/>
  <c r="C7" i="5" s="1"/>
  <c r="E37" i="5"/>
  <c r="H37" i="5"/>
  <c r="H44" i="5"/>
  <c r="E44" i="5"/>
  <c r="E41" i="5"/>
  <c r="E40" i="5"/>
  <c r="H39" i="5"/>
  <c r="E39" i="5"/>
  <c r="H36" i="5"/>
  <c r="E36" i="5"/>
  <c r="E34" i="5"/>
  <c r="E33" i="5"/>
  <c r="E30" i="5"/>
  <c r="E28" i="5"/>
  <c r="E27" i="5"/>
  <c r="H26" i="5"/>
  <c r="E26" i="5"/>
  <c r="H25" i="5"/>
  <c r="E25" i="5"/>
  <c r="E24" i="5"/>
  <c r="E22" i="5"/>
  <c r="H20" i="5"/>
  <c r="E20" i="5"/>
  <c r="H19" i="5"/>
  <c r="E19" i="5"/>
  <c r="H18" i="5"/>
  <c r="E18" i="5"/>
  <c r="E17" i="5"/>
  <c r="H16" i="5"/>
  <c r="E16" i="5"/>
  <c r="H15" i="5"/>
  <c r="E15" i="5"/>
  <c r="H14" i="5"/>
  <c r="E14" i="5"/>
  <c r="E13" i="5"/>
  <c r="E12" i="5"/>
  <c r="F36" i="4"/>
  <c r="A7" i="5" s="1"/>
  <c r="E38" i="5"/>
  <c r="E32" i="5"/>
  <c r="E31" i="5"/>
  <c r="E29" i="5"/>
  <c r="H12" i="5" l="1"/>
  <c r="K36" i="4"/>
  <c r="E7" i="5" s="1"/>
</calcChain>
</file>

<file path=xl/sharedStrings.xml><?xml version="1.0" encoding="utf-8"?>
<sst xmlns="http://schemas.openxmlformats.org/spreadsheetml/2006/main" count="7465" uniqueCount="174">
  <si>
    <t>بيانات الموظفين - أبريل 2025</t>
  </si>
  <si>
    <t xml:space="preserve">شهر العمل: أبريل | أيام العمل: 27 يوم </t>
  </si>
  <si>
    <t>كود الموظف</t>
  </si>
  <si>
    <t>اسم الموظف</t>
  </si>
  <si>
    <t>الوظيفة</t>
  </si>
  <si>
    <t>المرتب الشهري</t>
  </si>
  <si>
    <t>أيام العمل</t>
  </si>
  <si>
    <t>ساعات العمل اليومية</t>
  </si>
  <si>
    <t>ميعاد الحضور</t>
  </si>
  <si>
    <t>ميعاد الانصراف</t>
  </si>
  <si>
    <t>أجر اليوم</t>
  </si>
  <si>
    <t>أجر الساعة</t>
  </si>
  <si>
    <t>EMP-001</t>
  </si>
  <si>
    <t>EMP-002</t>
  </si>
  <si>
    <t>مبيعات</t>
  </si>
  <si>
    <t>EMP-003</t>
  </si>
  <si>
    <t>EMP-004</t>
  </si>
  <si>
    <t>EMP-005</t>
  </si>
  <si>
    <t>EMP-006</t>
  </si>
  <si>
    <t>EMP-007</t>
  </si>
  <si>
    <t>EMP-008</t>
  </si>
  <si>
    <t>EMP-009</t>
  </si>
  <si>
    <t>EMP-010</t>
  </si>
  <si>
    <t>EMP-011</t>
  </si>
  <si>
    <t>EMP-012</t>
  </si>
  <si>
    <t>09:00 AM</t>
  </si>
  <si>
    <t>05:00 PM</t>
  </si>
  <si>
    <t>EMP-013</t>
  </si>
  <si>
    <t>معتز شوقى</t>
  </si>
  <si>
    <t>EMP-014</t>
  </si>
  <si>
    <t>محمد حسين</t>
  </si>
  <si>
    <t>حسابات</t>
  </si>
  <si>
    <t>EMP-015</t>
  </si>
  <si>
    <t>احمد عزت</t>
  </si>
  <si>
    <t>EMP-016</t>
  </si>
  <si>
    <t>محمد سمير</t>
  </si>
  <si>
    <t>EMP-017</t>
  </si>
  <si>
    <t>احمد سمير</t>
  </si>
  <si>
    <t>EMP-018</t>
  </si>
  <si>
    <t>EMP-019</t>
  </si>
  <si>
    <t>EMP-020</t>
  </si>
  <si>
    <t>EMP-021</t>
  </si>
  <si>
    <t>EMP-022</t>
  </si>
  <si>
    <t>EMP-023</t>
  </si>
  <si>
    <t>EMP-024</t>
  </si>
  <si>
    <t>EMP-025</t>
  </si>
  <si>
    <t>EMP-026</t>
  </si>
  <si>
    <t>EMP-027</t>
  </si>
  <si>
    <t>EMP-028</t>
  </si>
  <si>
    <t>EMP-029</t>
  </si>
  <si>
    <t>EMP-030</t>
  </si>
  <si>
    <t>EMP-031</t>
  </si>
  <si>
    <t>EMP-032</t>
  </si>
  <si>
    <t>EMP-033</t>
  </si>
  <si>
    <t>سجل الحضور والانصراف - أبريل 2025</t>
  </si>
  <si>
    <t>التاريخ</t>
  </si>
  <si>
    <t>اليوم</t>
  </si>
  <si>
    <t>وقت الحضور</t>
  </si>
  <si>
    <t>وقت الانصراف</t>
  </si>
  <si>
    <t>حالة اليوم</t>
  </si>
  <si>
    <t>C/IN</t>
  </si>
  <si>
    <t>C/OUT</t>
  </si>
  <si>
    <t>ساعات التأخير</t>
  </si>
  <si>
    <t>خصم التأخير</t>
  </si>
  <si>
    <t>ساعات الأوفر تايم</t>
  </si>
  <si>
    <t>أجر الأوفر تايم</t>
  </si>
  <si>
    <t>خصم الغياب</t>
  </si>
  <si>
    <t>01/04/2025</t>
  </si>
  <si>
    <t>الاربعاء</t>
  </si>
  <si>
    <t>حضور</t>
  </si>
  <si>
    <t>02/04/2025</t>
  </si>
  <si>
    <t>الخميس</t>
  </si>
  <si>
    <t>03/04/2025</t>
  </si>
  <si>
    <t>الجمعه</t>
  </si>
  <si>
    <t>04/04/2025</t>
  </si>
  <si>
    <t xml:space="preserve">السبت </t>
  </si>
  <si>
    <t>05/04/2025</t>
  </si>
  <si>
    <t>الاحد</t>
  </si>
  <si>
    <t>_</t>
  </si>
  <si>
    <t>اجازة اسبوعية</t>
  </si>
  <si>
    <t>06/04/2025</t>
  </si>
  <si>
    <t>الاثنين</t>
  </si>
  <si>
    <t>07/04/2025</t>
  </si>
  <si>
    <t>الثلاثاء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</si>
  <si>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</si>
  <si>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</si>
  <si>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</si>
  <si>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</si>
  <si>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</si>
  <si>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</si>
  <si>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</si>
  <si>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</si>
  <si>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</si>
  <si>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</si>
  <si>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</si>
  <si>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</si>
  <si>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</si>
  <si>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</si>
  <si>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</si>
  <si>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</si>
  <si>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</si>
  <si>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</si>
  <si>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</si>
  <si>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</si>
  <si>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</si>
  <si>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</si>
  <si>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</si>
  <si>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السلف والخصومات - أبريل 2025</t>
  </si>
  <si>
    <t>السلف</t>
  </si>
  <si>
    <t>خصومات أخرى</t>
  </si>
  <si>
    <t>الإجمالي</t>
  </si>
  <si>
    <t>ملخص المرتبات - أبريل 2025</t>
  </si>
  <si>
    <t>المرتب الأساسي</t>
  </si>
  <si>
    <t>إجمالي الأوفر تايم</t>
  </si>
  <si>
    <t>الخصومات الأخرى</t>
  </si>
  <si>
    <t>صافي المرتب</t>
  </si>
  <si>
    <t>الإجمالي الكلي</t>
  </si>
  <si>
    <t>لوحة التحكم - ملخص المرتبات - أبريل 2025</t>
  </si>
  <si>
    <t>إجمالي الرواتب الأساسية</t>
  </si>
  <si>
    <t>إجمالي السلف</t>
  </si>
  <si>
    <t>إجمالي الخصومات الأخرى</t>
  </si>
  <si>
    <t>إجمالي خصم الغياب</t>
  </si>
  <si>
    <t>إجمالي خصم التأخير</t>
  </si>
  <si>
    <t>إجمالي صافي المرتبات</t>
  </si>
  <si>
    <t>ملخص تفصيلي لكل موظف</t>
  </si>
  <si>
    <t>الاسم</t>
  </si>
  <si>
    <t>المرتب</t>
  </si>
  <si>
    <t>الغياب</t>
  </si>
  <si>
    <t>التأخير</t>
  </si>
  <si>
    <t>الأوفر تايم</t>
  </si>
  <si>
    <t>غياب</t>
  </si>
  <si>
    <t>NOTES</t>
  </si>
  <si>
    <t>بمعرفة الحاج ياسر</t>
  </si>
  <si>
    <t>سلف اول اسبوع</t>
  </si>
  <si>
    <t>سلف ثانى اسبوع</t>
  </si>
  <si>
    <t>سلف ثالث اسبوع</t>
  </si>
  <si>
    <t>سلف رابع اسبوع</t>
  </si>
  <si>
    <t>اجمالى السلف</t>
  </si>
  <si>
    <t>حضور مبكر</t>
  </si>
  <si>
    <t>اجر الحضور المبكر</t>
  </si>
  <si>
    <t>📌 قاعدة التأخير: سماح 30 دقيقة، بعدها يُحسب ساعة كاملة | قاعدة الأوفر تايم: أول 30 دقيقة لا تُحسب، بعدها ساعة كاملة</t>
  </si>
  <si>
    <t>اجمالى الحضور المبكر</t>
  </si>
  <si>
    <t>عجز نقدية هارون المالكي</t>
  </si>
  <si>
    <t>احمد خالد</t>
  </si>
  <si>
    <t>هشام عادل</t>
  </si>
  <si>
    <t>احمد الشاذلى</t>
  </si>
  <si>
    <t>يوسف احمد</t>
  </si>
  <si>
    <t>محمد السيد</t>
  </si>
  <si>
    <t>يحي طارق</t>
  </si>
  <si>
    <t>عابدين محمد</t>
  </si>
  <si>
    <t>احمد رمصان</t>
  </si>
  <si>
    <t>هشام اشرف</t>
  </si>
  <si>
    <t>محمود اسماعيل</t>
  </si>
  <si>
    <t>ابراهيم خليفة</t>
  </si>
  <si>
    <t>طارق سعد</t>
  </si>
  <si>
    <t>مؤمن جاد</t>
  </si>
  <si>
    <t>احمد جمعه</t>
  </si>
  <si>
    <t>محمد عبد الكريم</t>
  </si>
  <si>
    <t>عبدالرحمن على</t>
  </si>
  <si>
    <t>مصطفى شريف</t>
  </si>
  <si>
    <t>احمد اشرف</t>
  </si>
  <si>
    <t>منى ناصر</t>
  </si>
  <si>
    <t>مريم فتح الله</t>
  </si>
  <si>
    <t>ساميه محمد</t>
  </si>
  <si>
    <t>غادة منير</t>
  </si>
  <si>
    <t>هيام عبدالرحيم</t>
  </si>
  <si>
    <t>يونس خالد</t>
  </si>
  <si>
    <t>محمد طارق</t>
  </si>
  <si>
    <t>انس انور</t>
  </si>
  <si>
    <t>مراون عادل</t>
  </si>
  <si>
    <t>سعد محمد</t>
  </si>
  <si>
    <t>مدير مبيعات</t>
  </si>
  <si>
    <t>اداره</t>
  </si>
  <si>
    <t>تسويق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</si>
</sst>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\ [$ج.م.‏-C01]_-;\-* #,##0\ [$ج.م.‏-C01]_-;_-* \-??\ [$ج.م.‏-C01]_-;_-@_-"/>
    <numFmt numFmtId="165" formatCode="d/m/yyyy;@"/>
    <numFmt numFmtId="166" formatCode="hh:mm"/>
    <numFmt numFmtId="167" formatCode="#,##0.00\ [$ج.م.‏-C01]"/>
  </numFmts>
  <fonts count="22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FreeSans"/>
      <family val="2"/>
      <charset val="1"/>
    </font>
    <font>
      <b/>
      <sz val="10"/>
      <color rgb="FFFFFFFF"/>
      <name val="Calibri"/>
      <charset val="1"/>
    </font>
    <font>
      <sz val="9"/>
      <color rgb="FF1F3864"/>
      <name val="Arial"/>
      <charset val="1"/>
    </font>
    <font>
      <sz val="9"/>
      <color rgb="FF000000"/>
      <name val="Arial"/>
      <charset val="1"/>
    </font>
    <font>
      <sz val="9"/>
      <color rgb="FF000000"/>
      <name val="Arial"/>
      <family val="2"/>
      <charset val="1"/>
    </font>
    <font>
      <b/>
      <sz val="11"/>
      <name val="Arial"/>
      <charset val="1"/>
    </font>
    <font>
      <sz val="11"/>
      <color rgb="FF00AA00"/>
      <name val="Arial"/>
      <charset val="1"/>
    </font>
    <font>
      <b/>
      <sz val="11"/>
      <color rgb="FF1F3864"/>
      <name val="Arial"/>
      <charset val="1"/>
    </font>
    <font>
      <b/>
      <sz val="12"/>
      <color rgb="FFFFFFFF"/>
      <name val="Arial"/>
      <charset val="1"/>
    </font>
    <font>
      <b/>
      <sz val="18"/>
      <color rgb="FFFFFFFF"/>
      <name val="Arial"/>
      <charset val="1"/>
    </font>
    <font>
      <b/>
      <sz val="16"/>
      <color rgb="FF1F3864"/>
      <name val="Arial"/>
      <charset val="1"/>
    </font>
    <font>
      <b/>
      <sz val="16"/>
      <color rgb="FFC00000"/>
      <name val="Arial"/>
      <charset val="1"/>
    </font>
    <font>
      <b/>
      <sz val="16"/>
      <color rgb="FF833C00"/>
      <name val="Arial"/>
      <charset val="1"/>
    </font>
    <font>
      <b/>
      <sz val="16"/>
      <color rgb="FF375623"/>
      <name val="Arial"/>
      <charset val="1"/>
    </font>
    <font>
      <b/>
      <sz val="16"/>
      <color rgb="FF1F5C1F"/>
      <name val="Arial"/>
      <charset val="1"/>
    </font>
    <font>
      <b/>
      <sz val="13"/>
      <color rgb="FFFFFFFF"/>
      <name val="Arial"/>
      <charset val="1"/>
    </font>
    <font>
      <sz val="12"/>
      <color rgb="FFFFFFFF"/>
      <name val="Arial"/>
      <family val="2"/>
    </font>
    <font>
      <b/>
      <sz val="11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8F5E9"/>
      </patternFill>
    </fill>
    <fill>
      <patternFill patternType="solid">
        <fgColor rgb="FFE8F5E9"/>
        <bgColor rgb="FFE2EFDA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E8F5E9"/>
      </patternFill>
    </fill>
    <fill>
      <patternFill patternType="solid">
        <fgColor rgb="FF1F4E79"/>
        <bgColor rgb="FF1F3864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theme="9" tint="0.59987182226020086"/>
        <bgColor rgb="FFFCE4D6"/>
      </patternFill>
    </fill>
    <fill>
      <patternFill patternType="solid">
        <fgColor rgb="FFBDD7EE"/>
        <bgColor rgb="FFDCE6F1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E8F5E9"/>
      </patternFill>
    </fill>
    <fill>
      <patternFill patternType="solid">
        <fgColor theme="8"/>
        <bgColor rgb="FFFCE4D6"/>
      </patternFill>
    </fill>
  </fills>
  <borders count="8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B0B0B0"/>
      </top>
      <bottom style="thin">
        <color rgb="FFC0C0C0"/>
      </bottom>
      <diagonal/>
    </border>
    <border>
      <left/>
      <right/>
      <top/>
      <bottom style="thin">
        <color rgb="FFB0B0B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8" fontId="3" fillId="4" borderId="1" xfId="0" applyNumberFormat="1" applyFont="1" applyFill="1" applyBorder="1" applyAlignment="1">
      <alignment horizontal="center" vertical="center" wrapText="1"/>
    </xf>
    <xf numFmtId="4" fontId="3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18" fontId="3" fillId="6" borderId="1" xfId="0" applyNumberFormat="1" applyFont="1" applyFill="1" applyBorder="1" applyAlignment="1">
      <alignment horizontal="center" vertical="center" wrapText="1"/>
    </xf>
    <xf numFmtId="4" fontId="3" fillId="7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0" fontId="0" fillId="0" borderId="0" xfId="0" applyNumberFormat="1"/>
    <xf numFmtId="0" fontId="4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20" fontId="4" fillId="8" borderId="2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65" fontId="7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4" fontId="7" fillId="10" borderId="2" xfId="0" applyNumberFormat="1" applyFont="1" applyFill="1" applyBorder="1" applyAlignment="1">
      <alignment horizontal="center" vertical="center"/>
    </xf>
    <xf numFmtId="1" fontId="7" fillId="7" borderId="2" xfId="0" applyNumberFormat="1" applyFont="1" applyFill="1" applyBorder="1" applyAlignment="1">
      <alignment horizontal="center" vertical="center"/>
    </xf>
    <xf numFmtId="4" fontId="7" fillId="7" borderId="2" xfId="0" applyNumberFormat="1" applyFont="1" applyFill="1" applyBorder="1" applyAlignment="1">
      <alignment horizontal="center" vertical="center"/>
    </xf>
    <xf numFmtId="165" fontId="7" fillId="11" borderId="2" xfId="0" applyNumberFormat="1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166" fontId="8" fillId="11" borderId="2" xfId="0" applyNumberFormat="1" applyFont="1" applyFill="1" applyBorder="1" applyAlignment="1">
      <alignment horizontal="center" vertical="center"/>
    </xf>
    <xf numFmtId="166" fontId="8" fillId="0" borderId="2" xfId="0" applyNumberFormat="1" applyFont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center" vertical="center" wrapText="1"/>
    </xf>
    <xf numFmtId="3" fontId="9" fillId="12" borderId="1" xfId="0" applyNumberFormat="1" applyFont="1" applyFill="1" applyBorder="1" applyAlignment="1">
      <alignment horizontal="center" vertical="center" wrapText="1"/>
    </xf>
    <xf numFmtId="167" fontId="10" fillId="4" borderId="1" xfId="0" applyNumberFormat="1" applyFont="1" applyFill="1" applyBorder="1" applyAlignment="1">
      <alignment horizontal="center" vertical="center" wrapText="1"/>
    </xf>
    <xf numFmtId="4" fontId="3" fillId="10" borderId="1" xfId="0" applyNumberFormat="1" applyFont="1" applyFill="1" applyBorder="1" applyAlignment="1">
      <alignment horizontal="center" vertical="center" wrapText="1"/>
    </xf>
    <xf numFmtId="3" fontId="10" fillId="4" borderId="1" xfId="0" applyNumberFormat="1" applyFont="1" applyFill="1" applyBorder="1" applyAlignment="1">
      <alignment horizontal="center" vertical="center" wrapText="1"/>
    </xf>
    <xf numFmtId="4" fontId="11" fillId="12" borderId="1" xfId="0" applyNumberFormat="1" applyFont="1" applyFill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center" vertical="center" wrapText="1"/>
    </xf>
    <xf numFmtId="4" fontId="9" fillId="1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4" fontId="7" fillId="4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4" fontId="7" fillId="6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2" fontId="7" fillId="10" borderId="2" xfId="0" applyNumberFormat="1" applyFont="1" applyFill="1" applyBorder="1" applyAlignment="1">
      <alignment horizontal="center" vertical="center"/>
    </xf>
    <xf numFmtId="165" fontId="7" fillId="13" borderId="2" xfId="0" applyNumberFormat="1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166" fontId="7" fillId="13" borderId="2" xfId="0" applyNumberFormat="1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166" fontId="8" fillId="15" borderId="2" xfId="0" applyNumberFormat="1" applyFont="1" applyFill="1" applyBorder="1" applyAlignment="1">
      <alignment horizontal="center" vertical="center"/>
    </xf>
    <xf numFmtId="166" fontId="8" fillId="13" borderId="2" xfId="0" applyNumberFormat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" fontId="16" fillId="10" borderId="1" xfId="0" applyNumberFormat="1" applyFont="1" applyFill="1" applyBorder="1" applyAlignment="1">
      <alignment horizontal="center" vertical="center" wrapText="1"/>
    </xf>
    <xf numFmtId="4" fontId="17" fillId="7" borderId="1" xfId="0" applyNumberFormat="1" applyFont="1" applyFill="1" applyBorder="1" applyAlignment="1">
      <alignment horizontal="center" vertical="center" wrapText="1"/>
    </xf>
    <xf numFmtId="4" fontId="18" fillId="7" borderId="1" xfId="0" applyNumberFormat="1" applyFont="1" applyFill="1" applyBorder="1" applyAlignment="1">
      <alignment horizontal="center" vertical="center" wrapText="1"/>
    </xf>
    <xf numFmtId="4" fontId="14" fillId="12" borderId="1" xfId="0" applyNumberFormat="1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4" fontId="15" fillId="1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AA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5E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CE4D6"/>
      <rgbColor rgb="FF99CCFF"/>
      <rgbColor rgb="FFFF99CC"/>
      <rgbColor rgb="FFCC99FF"/>
      <rgbColor rgb="FFFCD5B5"/>
      <rgbColor rgb="FF2E75B6"/>
      <rgbColor rgb="FF33CCCC"/>
      <rgbColor rgb="FF99CC00"/>
      <rgbColor rgb="FFFFCC00"/>
      <rgbColor rgb="FFFF9900"/>
      <rgbColor rgb="FFFF6600"/>
      <rgbColor rgb="FF666699"/>
      <rgbColor rgb="FFB0B0B0"/>
      <rgbColor rgb="FF1F3864"/>
      <rgbColor rgb="FF339966"/>
      <rgbColor rgb="FF003300"/>
      <rgbColor rgb="FF1F5C1F"/>
      <rgbColor rgb="FF833C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rightToLeft="1" tabSelected="1" topLeftCell="A19" zoomScaleNormal="100" workbookViewId="0">
      <selection activeCell="D4" sqref="D4:D36"/>
    </sheetView>
  </sheetViews>
  <sheetFormatPr defaultColWidth="8.7109375" defaultRowHeight="15"/>
  <cols>
    <col min="1" max="1" width="12" customWidth="1"/>
    <col min="2" max="2" width="22" customWidth="1"/>
    <col min="3" max="3" width="18" style="2" customWidth="1"/>
    <col min="4" max="4" width="15" customWidth="1"/>
    <col min="5" max="5" width="12" customWidth="1"/>
    <col min="6" max="6" width="18" customWidth="1"/>
    <col min="7" max="8" width="15" customWidth="1"/>
    <col min="9" max="10" width="14" customWidth="1"/>
  </cols>
  <sheetData>
    <row r="1" spans="1:10" ht="34.5" customHeight="1">
      <c r="A1" s="55" t="s">
        <v>0</v>
      </c>
      <c r="B1" s="55"/>
      <c r="C1" s="55"/>
      <c r="D1" s="55"/>
      <c r="E1" s="55"/>
      <c r="F1" s="55"/>
      <c r="G1" s="55"/>
      <c r="H1" s="55"/>
      <c r="I1" s="55"/>
    </row>
    <row r="2" spans="1:10" ht="21.75" customHeight="1">
      <c r="A2" s="56" t="s">
        <v>1</v>
      </c>
      <c r="B2" s="56"/>
      <c r="C2" s="56"/>
      <c r="D2" s="56"/>
      <c r="E2" s="56"/>
      <c r="F2" s="56"/>
      <c r="G2" s="56"/>
      <c r="H2" s="56"/>
      <c r="I2" s="56"/>
    </row>
    <row r="3" spans="1:10" ht="30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19.5" customHeight="1">
      <c r="A4" s="3" t="s">
        <v>12</v>
      </c>
      <c r="B4" s="3" t="s">
        <v>143</v>
      </c>
      <c r="C4" s="3" t="s">
        <v>171</v>
      </c>
      <c r="D4" s="4">
        <v>10000</v>
      </c>
      <c r="E4" s="3">
        <v>27</v>
      </c>
      <c r="F4" s="3">
        <v>10</v>
      </c>
      <c r="G4" s="5">
        <v>0.5</v>
      </c>
      <c r="H4" s="5">
        <v>0.91666666666666696</v>
      </c>
      <c r="I4" s="6">
        <f t="shared" ref="I4:I36" si="0">D4/27</f>
        <v>370.37037037037038</v>
      </c>
      <c r="J4" s="6">
        <f t="shared" ref="J4:J36" si="1">I4/F4</f>
        <v>37.037037037037038</v>
      </c>
    </row>
    <row r="5" spans="1:10" ht="19.5" customHeight="1">
      <c r="A5" s="7" t="s">
        <v>13</v>
      </c>
      <c r="B5" s="7" t="s">
        <v>144</v>
      </c>
      <c r="C5" s="7" t="s">
        <v>171</v>
      </c>
      <c r="D5" s="8">
        <v>9000</v>
      </c>
      <c r="E5" s="7">
        <v>27</v>
      </c>
      <c r="F5" s="7">
        <v>9</v>
      </c>
      <c r="G5" s="9">
        <v>0.41666666666666702</v>
      </c>
      <c r="H5" s="9">
        <v>0.79166666666666696</v>
      </c>
      <c r="I5" s="10">
        <f t="shared" si="0"/>
        <v>333.33333333333331</v>
      </c>
      <c r="J5" s="10">
        <f t="shared" si="1"/>
        <v>37.037037037037038</v>
      </c>
    </row>
    <row r="6" spans="1:10" ht="19.5" customHeight="1">
      <c r="A6" s="3" t="s">
        <v>15</v>
      </c>
      <c r="B6" s="3" t="s">
        <v>145</v>
      </c>
      <c r="C6" s="3" t="s">
        <v>14</v>
      </c>
      <c r="D6" s="4">
        <v>7000</v>
      </c>
      <c r="E6" s="3">
        <v>27</v>
      </c>
      <c r="F6" s="3">
        <v>9</v>
      </c>
      <c r="G6" s="5">
        <v>0.41666666666666702</v>
      </c>
      <c r="H6" s="5">
        <v>0.79166666666666696</v>
      </c>
      <c r="I6" s="6">
        <f t="shared" si="0"/>
        <v>259.25925925925924</v>
      </c>
      <c r="J6" s="6">
        <f t="shared" si="1"/>
        <v>28.806584362139915</v>
      </c>
    </row>
    <row r="7" spans="1:10" ht="19.5" customHeight="1">
      <c r="A7" s="7" t="s">
        <v>16</v>
      </c>
      <c r="B7" s="7" t="s">
        <v>146</v>
      </c>
      <c r="C7" s="7" t="s">
        <v>14</v>
      </c>
      <c r="D7" s="8">
        <v>7000</v>
      </c>
      <c r="E7" s="7">
        <v>27</v>
      </c>
      <c r="F7" s="7">
        <v>12</v>
      </c>
      <c r="G7" s="9">
        <v>0.41666666666666702</v>
      </c>
      <c r="H7" s="9">
        <v>0.91666666666666696</v>
      </c>
      <c r="I7" s="10">
        <f t="shared" si="0"/>
        <v>259.25925925925924</v>
      </c>
      <c r="J7" s="10">
        <f t="shared" si="1"/>
        <v>21.604938271604937</v>
      </c>
    </row>
    <row r="8" spans="1:10" ht="19.5" customHeight="1">
      <c r="A8" s="3" t="s">
        <v>17</v>
      </c>
      <c r="B8" s="3" t="s">
        <v>147</v>
      </c>
      <c r="C8" s="3" t="s">
        <v>14</v>
      </c>
      <c r="D8" s="4">
        <v>7000</v>
      </c>
      <c r="E8" s="3">
        <v>27</v>
      </c>
      <c r="F8" s="3">
        <v>12</v>
      </c>
      <c r="G8" s="5">
        <v>0.41666666666666702</v>
      </c>
      <c r="H8" s="5">
        <v>0.91666666666666696</v>
      </c>
      <c r="I8" s="6">
        <f t="shared" si="0"/>
        <v>259.25925925925924</v>
      </c>
      <c r="J8" s="6">
        <f t="shared" si="1"/>
        <v>21.604938271604937</v>
      </c>
    </row>
    <row r="9" spans="1:10" ht="19.5" customHeight="1">
      <c r="A9" s="7" t="s">
        <v>18</v>
      </c>
      <c r="B9" s="7" t="s">
        <v>148</v>
      </c>
      <c r="C9" s="7" t="s">
        <v>14</v>
      </c>
      <c r="D9" s="8">
        <v>7000</v>
      </c>
      <c r="E9" s="7">
        <v>27</v>
      </c>
      <c r="F9" s="7">
        <v>12</v>
      </c>
      <c r="G9" s="9">
        <v>0.41666666666666702</v>
      </c>
      <c r="H9" s="9">
        <v>0.91666666666666696</v>
      </c>
      <c r="I9" s="10">
        <f t="shared" si="0"/>
        <v>259.25925925925924</v>
      </c>
      <c r="J9" s="10">
        <f t="shared" si="1"/>
        <v>21.604938271604937</v>
      </c>
    </row>
    <row r="10" spans="1:10" ht="19.5" customHeight="1">
      <c r="A10" s="3" t="s">
        <v>19</v>
      </c>
      <c r="B10" s="3" t="s">
        <v>149</v>
      </c>
      <c r="C10" s="3" t="s">
        <v>14</v>
      </c>
      <c r="D10" s="4">
        <v>7000</v>
      </c>
      <c r="E10" s="3">
        <v>27</v>
      </c>
      <c r="F10" s="3">
        <v>12</v>
      </c>
      <c r="G10" s="5">
        <v>0.41666666666666702</v>
      </c>
      <c r="H10" s="5">
        <v>0.91666666666666696</v>
      </c>
      <c r="I10" s="6">
        <f t="shared" si="0"/>
        <v>259.25925925925924</v>
      </c>
      <c r="J10" s="6">
        <f t="shared" si="1"/>
        <v>21.604938271604937</v>
      </c>
    </row>
    <row r="11" spans="1:10" ht="19.5" customHeight="1">
      <c r="A11" s="7" t="s">
        <v>20</v>
      </c>
      <c r="B11" s="7" t="s">
        <v>150</v>
      </c>
      <c r="C11" s="7" t="s">
        <v>14</v>
      </c>
      <c r="D11" s="8">
        <v>7000</v>
      </c>
      <c r="E11" s="7">
        <v>27</v>
      </c>
      <c r="F11" s="7">
        <v>10</v>
      </c>
      <c r="G11" s="9">
        <v>0.5</v>
      </c>
      <c r="H11" s="9">
        <v>0.91666666666666696</v>
      </c>
      <c r="I11" s="10">
        <f t="shared" si="0"/>
        <v>259.25925925925924</v>
      </c>
      <c r="J11" s="10">
        <f t="shared" si="1"/>
        <v>25.925925925925924</v>
      </c>
    </row>
    <row r="12" spans="1:10" ht="19.5" customHeight="1">
      <c r="A12" s="3" t="s">
        <v>21</v>
      </c>
      <c r="B12" s="3" t="s">
        <v>151</v>
      </c>
      <c r="C12" s="3" t="s">
        <v>14</v>
      </c>
      <c r="D12" s="4">
        <v>7000</v>
      </c>
      <c r="E12" s="3">
        <v>27</v>
      </c>
      <c r="F12" s="3">
        <v>12</v>
      </c>
      <c r="G12" s="5">
        <v>0.41666666666666702</v>
      </c>
      <c r="H12" s="5">
        <v>0.91666666666666696</v>
      </c>
      <c r="I12" s="6">
        <f t="shared" si="0"/>
        <v>259.25925925925924</v>
      </c>
      <c r="J12" s="6">
        <f t="shared" si="1"/>
        <v>21.604938271604937</v>
      </c>
    </row>
    <row r="13" spans="1:10" ht="19.5" customHeight="1">
      <c r="A13" s="7" t="s">
        <v>22</v>
      </c>
      <c r="B13" s="7" t="s">
        <v>152</v>
      </c>
      <c r="C13" s="7" t="s">
        <v>14</v>
      </c>
      <c r="D13" s="8">
        <v>7000</v>
      </c>
      <c r="E13" s="7">
        <v>27</v>
      </c>
      <c r="F13" s="7">
        <v>7</v>
      </c>
      <c r="G13" s="9">
        <v>0.625</v>
      </c>
      <c r="H13" s="9">
        <v>0.91666666666666696</v>
      </c>
      <c r="I13" s="10">
        <f t="shared" si="0"/>
        <v>259.25925925925924</v>
      </c>
      <c r="J13" s="10">
        <f t="shared" si="1"/>
        <v>37.037037037037031</v>
      </c>
    </row>
    <row r="14" spans="1:10" ht="19.5" customHeight="1">
      <c r="A14" s="3" t="s">
        <v>23</v>
      </c>
      <c r="B14" s="3" t="s">
        <v>153</v>
      </c>
      <c r="C14" s="3" t="s">
        <v>14</v>
      </c>
      <c r="D14" s="4">
        <v>7000</v>
      </c>
      <c r="E14" s="3">
        <v>27</v>
      </c>
      <c r="F14" s="3">
        <v>12</v>
      </c>
      <c r="G14" s="5">
        <v>0.41666666666666702</v>
      </c>
      <c r="H14" s="5">
        <v>0.91666666666666696</v>
      </c>
      <c r="I14" s="6">
        <f t="shared" si="0"/>
        <v>259.25925925925924</v>
      </c>
      <c r="J14" s="6">
        <f t="shared" si="1"/>
        <v>21.604938271604937</v>
      </c>
    </row>
    <row r="15" spans="1:10" ht="19.5" customHeight="1">
      <c r="A15" s="7" t="s">
        <v>24</v>
      </c>
      <c r="B15" s="7" t="s">
        <v>154</v>
      </c>
      <c r="C15" s="7" t="s">
        <v>14</v>
      </c>
      <c r="D15" s="8">
        <v>7000</v>
      </c>
      <c r="E15" s="7">
        <v>27</v>
      </c>
      <c r="F15" s="7">
        <v>12</v>
      </c>
      <c r="G15" s="7" t="s">
        <v>25</v>
      </c>
      <c r="H15" s="7" t="s">
        <v>26</v>
      </c>
      <c r="I15" s="10">
        <f t="shared" si="0"/>
        <v>259.25925925925924</v>
      </c>
      <c r="J15" s="10">
        <f t="shared" si="1"/>
        <v>21.604938271604937</v>
      </c>
    </row>
    <row r="16" spans="1:10" ht="19.5" customHeight="1">
      <c r="A16" s="3" t="s">
        <v>27</v>
      </c>
      <c r="B16" s="3" t="s">
        <v>155</v>
      </c>
      <c r="C16" s="3" t="s">
        <v>14</v>
      </c>
      <c r="D16" s="4">
        <v>7000</v>
      </c>
      <c r="E16" s="3">
        <v>27</v>
      </c>
      <c r="F16" s="3">
        <v>10</v>
      </c>
      <c r="G16" s="3" t="s">
        <v>25</v>
      </c>
      <c r="H16" s="3" t="s">
        <v>26</v>
      </c>
      <c r="I16" s="6">
        <f t="shared" si="0"/>
        <v>259.25925925925924</v>
      </c>
      <c r="J16" s="6">
        <f t="shared" si="1"/>
        <v>25.925925925925924</v>
      </c>
    </row>
    <row r="17" spans="1:10" ht="19.5" customHeight="1">
      <c r="A17" s="7" t="s">
        <v>29</v>
      </c>
      <c r="B17" s="7" t="s">
        <v>30</v>
      </c>
      <c r="C17" s="7" t="s">
        <v>31</v>
      </c>
      <c r="D17" s="8">
        <v>11000</v>
      </c>
      <c r="E17" s="7">
        <v>27</v>
      </c>
      <c r="F17" s="7">
        <v>10</v>
      </c>
      <c r="G17" s="9">
        <v>0.5</v>
      </c>
      <c r="H17" s="9">
        <v>0.91666666666666696</v>
      </c>
      <c r="I17" s="10">
        <f t="shared" si="0"/>
        <v>407.40740740740739</v>
      </c>
      <c r="J17" s="10">
        <f t="shared" si="1"/>
        <v>40.74074074074074</v>
      </c>
    </row>
    <row r="18" spans="1:10" ht="19.5" customHeight="1">
      <c r="A18" s="3" t="s">
        <v>32</v>
      </c>
      <c r="B18" s="3" t="s">
        <v>28</v>
      </c>
      <c r="C18" s="3" t="s">
        <v>31</v>
      </c>
      <c r="D18" s="4">
        <v>11000</v>
      </c>
      <c r="E18" s="3">
        <v>27</v>
      </c>
      <c r="F18" s="3">
        <v>10</v>
      </c>
      <c r="G18" s="5">
        <v>0.5</v>
      </c>
      <c r="H18" s="5">
        <v>0.91666666666666696</v>
      </c>
      <c r="I18" s="6">
        <f t="shared" si="0"/>
        <v>407.40740740740739</v>
      </c>
      <c r="J18" s="6">
        <f t="shared" si="1"/>
        <v>40.74074074074074</v>
      </c>
    </row>
    <row r="19" spans="1:10" ht="19.5" customHeight="1">
      <c r="A19" s="7" t="s">
        <v>34</v>
      </c>
      <c r="B19" s="7" t="s">
        <v>33</v>
      </c>
      <c r="C19" s="7" t="s">
        <v>31</v>
      </c>
      <c r="D19" s="8">
        <v>9000</v>
      </c>
      <c r="E19" s="7">
        <v>27</v>
      </c>
      <c r="F19" s="7">
        <v>9</v>
      </c>
      <c r="G19" s="9">
        <v>0.5</v>
      </c>
      <c r="H19" s="9">
        <v>0.875</v>
      </c>
      <c r="I19" s="10">
        <f t="shared" si="0"/>
        <v>333.33333333333331</v>
      </c>
      <c r="J19" s="10">
        <f t="shared" si="1"/>
        <v>37.037037037037038</v>
      </c>
    </row>
    <row r="20" spans="1:10" ht="19.5" customHeight="1">
      <c r="A20" s="3" t="s">
        <v>36</v>
      </c>
      <c r="B20" s="3" t="s">
        <v>156</v>
      </c>
      <c r="C20" s="3" t="s">
        <v>31</v>
      </c>
      <c r="D20" s="4">
        <v>9000</v>
      </c>
      <c r="E20" s="3">
        <v>27</v>
      </c>
      <c r="F20" s="3">
        <v>12</v>
      </c>
      <c r="G20" s="5">
        <v>0.41666666666666702</v>
      </c>
      <c r="H20" s="5">
        <v>0.91666666666666696</v>
      </c>
      <c r="I20" s="6">
        <f t="shared" si="0"/>
        <v>333.33333333333331</v>
      </c>
      <c r="J20" s="6">
        <f t="shared" si="1"/>
        <v>27.777777777777775</v>
      </c>
    </row>
    <row r="21" spans="1:10" ht="19.5" customHeight="1">
      <c r="A21" s="7" t="s">
        <v>38</v>
      </c>
      <c r="B21" s="7" t="s">
        <v>35</v>
      </c>
      <c r="C21" s="7" t="s">
        <v>31</v>
      </c>
      <c r="D21" s="8">
        <v>9000</v>
      </c>
      <c r="E21" s="7">
        <v>27</v>
      </c>
      <c r="F21" s="7">
        <v>12</v>
      </c>
      <c r="G21" s="9">
        <v>0.41666666666666702</v>
      </c>
      <c r="H21" s="9">
        <v>0.91666666666666696</v>
      </c>
      <c r="I21" s="10">
        <f t="shared" si="0"/>
        <v>333.33333333333331</v>
      </c>
      <c r="J21" s="10">
        <f t="shared" si="1"/>
        <v>27.777777777777775</v>
      </c>
    </row>
    <row r="22" spans="1:10" ht="19.5" customHeight="1">
      <c r="A22" s="3" t="s">
        <v>39</v>
      </c>
      <c r="B22" s="3" t="s">
        <v>37</v>
      </c>
      <c r="C22" s="3" t="s">
        <v>31</v>
      </c>
      <c r="D22" s="4">
        <v>7000</v>
      </c>
      <c r="E22" s="3">
        <v>27</v>
      </c>
      <c r="F22" s="3">
        <v>12</v>
      </c>
      <c r="G22" s="5">
        <v>0.41666666666666702</v>
      </c>
      <c r="H22" s="5">
        <v>0.91666666666666696</v>
      </c>
      <c r="I22" s="6">
        <f t="shared" si="0"/>
        <v>259.25925925925924</v>
      </c>
      <c r="J22" s="6">
        <f t="shared" si="1"/>
        <v>21.604938271604937</v>
      </c>
    </row>
    <row r="23" spans="1:10" ht="19.5" customHeight="1">
      <c r="A23" s="7" t="s">
        <v>40</v>
      </c>
      <c r="B23" s="7" t="s">
        <v>157</v>
      </c>
      <c r="C23" s="7" t="s">
        <v>31</v>
      </c>
      <c r="D23" s="8">
        <v>7000</v>
      </c>
      <c r="E23" s="7">
        <v>27</v>
      </c>
      <c r="F23" s="7">
        <v>12</v>
      </c>
      <c r="G23" s="9">
        <v>0.41666666666666702</v>
      </c>
      <c r="H23" s="9">
        <v>0.91666666666666696</v>
      </c>
      <c r="I23" s="10">
        <f t="shared" si="0"/>
        <v>259.25925925925924</v>
      </c>
      <c r="J23" s="10">
        <f t="shared" si="1"/>
        <v>21.604938271604937</v>
      </c>
    </row>
    <row r="24" spans="1:10" ht="19.5" customHeight="1">
      <c r="A24" s="3" t="s">
        <v>41</v>
      </c>
      <c r="B24" s="3" t="s">
        <v>158</v>
      </c>
      <c r="C24" s="3" t="s">
        <v>31</v>
      </c>
      <c r="D24" s="4">
        <v>7000</v>
      </c>
      <c r="E24" s="3">
        <v>27</v>
      </c>
      <c r="F24" s="3">
        <v>12</v>
      </c>
      <c r="G24" s="5">
        <v>0.41666666666666702</v>
      </c>
      <c r="H24" s="5">
        <v>0.91666666666666696</v>
      </c>
      <c r="I24" s="6">
        <f t="shared" si="0"/>
        <v>259.25925925925924</v>
      </c>
      <c r="J24" s="6">
        <f t="shared" si="1"/>
        <v>21.604938271604937</v>
      </c>
    </row>
    <row r="25" spans="1:10" ht="19.5" customHeight="1">
      <c r="A25" s="7" t="s">
        <v>42</v>
      </c>
      <c r="B25" s="7" t="s">
        <v>159</v>
      </c>
      <c r="C25" s="7" t="s">
        <v>172</v>
      </c>
      <c r="D25" s="8">
        <v>12000</v>
      </c>
      <c r="E25" s="7">
        <v>27</v>
      </c>
      <c r="F25" s="7">
        <v>12</v>
      </c>
      <c r="G25" s="9">
        <v>0.41666666666666702</v>
      </c>
      <c r="H25" s="9">
        <v>0.91666666666666696</v>
      </c>
      <c r="I25" s="10">
        <f t="shared" si="0"/>
        <v>444.44444444444446</v>
      </c>
      <c r="J25" s="10">
        <f t="shared" si="1"/>
        <v>37.037037037037038</v>
      </c>
    </row>
    <row r="26" spans="1:10" ht="19.5" customHeight="1">
      <c r="A26" s="3" t="s">
        <v>43</v>
      </c>
      <c r="B26" s="3" t="s">
        <v>160</v>
      </c>
      <c r="C26" s="3" t="s">
        <v>172</v>
      </c>
      <c r="D26" s="4">
        <v>12000</v>
      </c>
      <c r="E26" s="3">
        <v>27</v>
      </c>
      <c r="F26" s="3">
        <v>12</v>
      </c>
      <c r="G26" s="5">
        <v>0.41666666666666702</v>
      </c>
      <c r="H26" s="5">
        <v>0.91666666666666696</v>
      </c>
      <c r="I26" s="6">
        <f t="shared" si="0"/>
        <v>444.44444444444446</v>
      </c>
      <c r="J26" s="6">
        <f t="shared" si="1"/>
        <v>37.037037037037038</v>
      </c>
    </row>
    <row r="27" spans="1:10" ht="19.5" customHeight="1">
      <c r="A27" s="7" t="s">
        <v>44</v>
      </c>
      <c r="B27" s="7" t="s">
        <v>161</v>
      </c>
      <c r="C27" s="7" t="s">
        <v>173</v>
      </c>
      <c r="D27" s="8">
        <v>10500</v>
      </c>
      <c r="E27" s="7">
        <v>27</v>
      </c>
      <c r="F27" s="7">
        <v>12</v>
      </c>
      <c r="G27" s="9">
        <v>0.41666666666666702</v>
      </c>
      <c r="H27" s="9">
        <v>0.91666666666666696</v>
      </c>
      <c r="I27" s="10">
        <f t="shared" si="0"/>
        <v>388.88888888888891</v>
      </c>
      <c r="J27" s="10">
        <f t="shared" si="1"/>
        <v>32.407407407407412</v>
      </c>
    </row>
    <row r="28" spans="1:10" ht="19.5" customHeight="1">
      <c r="A28" s="3" t="s">
        <v>45</v>
      </c>
      <c r="B28" s="3" t="s">
        <v>162</v>
      </c>
      <c r="C28" s="3" t="s">
        <v>173</v>
      </c>
      <c r="D28" s="4">
        <v>10500</v>
      </c>
      <c r="E28" s="3">
        <v>27</v>
      </c>
      <c r="F28" s="3">
        <v>12</v>
      </c>
      <c r="G28" s="5">
        <v>0.41666666666666702</v>
      </c>
      <c r="H28" s="5">
        <v>0.91666666666666696</v>
      </c>
      <c r="I28" s="6">
        <f t="shared" si="0"/>
        <v>388.88888888888891</v>
      </c>
      <c r="J28" s="6">
        <f t="shared" si="1"/>
        <v>32.407407407407412</v>
      </c>
    </row>
    <row r="29" spans="1:10" ht="19.5" customHeight="1">
      <c r="A29" s="7" t="s">
        <v>46</v>
      </c>
      <c r="B29" s="7" t="s">
        <v>163</v>
      </c>
      <c r="C29" s="7" t="s">
        <v>173</v>
      </c>
      <c r="D29" s="8">
        <v>9500</v>
      </c>
      <c r="E29" s="7">
        <v>27</v>
      </c>
      <c r="F29" s="7">
        <v>12</v>
      </c>
      <c r="G29" s="9">
        <v>0.41666666666666702</v>
      </c>
      <c r="H29" s="9">
        <v>0.91666666666666696</v>
      </c>
      <c r="I29" s="10">
        <f t="shared" si="0"/>
        <v>351.85185185185185</v>
      </c>
      <c r="J29" s="10">
        <f t="shared" si="1"/>
        <v>29.320987654320987</v>
      </c>
    </row>
    <row r="30" spans="1:10" ht="19.5" customHeight="1">
      <c r="A30" s="3" t="s">
        <v>47</v>
      </c>
      <c r="B30" s="3" t="s">
        <v>164</v>
      </c>
      <c r="C30" s="3" t="s">
        <v>173</v>
      </c>
      <c r="D30" s="4">
        <v>9500</v>
      </c>
      <c r="E30" s="3">
        <v>27</v>
      </c>
      <c r="F30" s="3">
        <v>12</v>
      </c>
      <c r="G30" s="5">
        <v>0.41666666666666702</v>
      </c>
      <c r="H30" s="5">
        <v>0.91666666666666696</v>
      </c>
      <c r="I30" s="6">
        <f t="shared" si="0"/>
        <v>351.85185185185185</v>
      </c>
      <c r="J30" s="6">
        <f t="shared" si="1"/>
        <v>29.320987654320987</v>
      </c>
    </row>
    <row r="31" spans="1:10" ht="19.5" customHeight="1">
      <c r="A31" s="7" t="s">
        <v>48</v>
      </c>
      <c r="B31" s="7" t="s">
        <v>165</v>
      </c>
      <c r="C31" s="7" t="s">
        <v>173</v>
      </c>
      <c r="D31" s="8">
        <v>9500</v>
      </c>
      <c r="E31" s="7">
        <v>27</v>
      </c>
      <c r="F31" s="7">
        <v>12</v>
      </c>
      <c r="G31" s="9">
        <v>0.41666666666666702</v>
      </c>
      <c r="H31" s="9">
        <v>0.91666666666666696</v>
      </c>
      <c r="I31" s="10">
        <f t="shared" si="0"/>
        <v>351.85185185185185</v>
      </c>
      <c r="J31" s="10">
        <f t="shared" si="1"/>
        <v>29.320987654320987</v>
      </c>
    </row>
    <row r="32" spans="1:10" ht="19.5" customHeight="1">
      <c r="A32" s="3" t="s">
        <v>49</v>
      </c>
      <c r="B32" s="3" t="s">
        <v>166</v>
      </c>
      <c r="C32" s="3" t="s">
        <v>173</v>
      </c>
      <c r="D32" s="4">
        <v>9500</v>
      </c>
      <c r="E32" s="3">
        <v>27</v>
      </c>
      <c r="F32" s="3">
        <v>12</v>
      </c>
      <c r="G32" s="5">
        <v>0.41666666666666702</v>
      </c>
      <c r="H32" s="5">
        <v>0.91666666666666696</v>
      </c>
      <c r="I32" s="6">
        <f t="shared" si="0"/>
        <v>351.85185185185185</v>
      </c>
      <c r="J32" s="6">
        <f t="shared" si="1"/>
        <v>29.320987654320987</v>
      </c>
    </row>
    <row r="33" spans="1:10" ht="19.5" customHeight="1">
      <c r="A33" s="7" t="s">
        <v>50</v>
      </c>
      <c r="B33" s="7" t="s">
        <v>167</v>
      </c>
      <c r="C33" s="7" t="s">
        <v>173</v>
      </c>
      <c r="D33" s="8">
        <v>9500</v>
      </c>
      <c r="E33" s="7">
        <v>27</v>
      </c>
      <c r="F33" s="7">
        <v>12</v>
      </c>
      <c r="G33" s="9">
        <v>0.41666666666666702</v>
      </c>
      <c r="H33" s="9">
        <v>0.91666666666666696</v>
      </c>
      <c r="I33" s="10">
        <f t="shared" si="0"/>
        <v>351.85185185185185</v>
      </c>
      <c r="J33" s="10">
        <f t="shared" si="1"/>
        <v>29.320987654320987</v>
      </c>
    </row>
    <row r="34" spans="1:10" ht="19.5" customHeight="1">
      <c r="A34" s="3" t="s">
        <v>51</v>
      </c>
      <c r="B34" s="3" t="s">
        <v>168</v>
      </c>
      <c r="C34" s="3" t="s">
        <v>172</v>
      </c>
      <c r="D34" s="4">
        <v>12000</v>
      </c>
      <c r="E34" s="3">
        <v>27</v>
      </c>
      <c r="F34" s="3">
        <v>9</v>
      </c>
      <c r="G34" s="3" t="s">
        <v>25</v>
      </c>
      <c r="H34" s="3" t="s">
        <v>26</v>
      </c>
      <c r="I34" s="6">
        <f t="shared" si="0"/>
        <v>444.44444444444446</v>
      </c>
      <c r="J34" s="6">
        <f t="shared" si="1"/>
        <v>49.382716049382715</v>
      </c>
    </row>
    <row r="35" spans="1:10" ht="19.5" customHeight="1">
      <c r="A35" s="7" t="s">
        <v>52</v>
      </c>
      <c r="B35" s="7" t="s">
        <v>169</v>
      </c>
      <c r="C35" s="7" t="s">
        <v>172</v>
      </c>
      <c r="D35" s="8">
        <v>12000</v>
      </c>
      <c r="E35" s="7">
        <v>27</v>
      </c>
      <c r="F35" s="7">
        <v>12</v>
      </c>
      <c r="G35" s="7" t="s">
        <v>25</v>
      </c>
      <c r="H35" s="7" t="s">
        <v>26</v>
      </c>
      <c r="I35" s="10">
        <f t="shared" si="0"/>
        <v>444.44444444444446</v>
      </c>
      <c r="J35" s="10">
        <f t="shared" si="1"/>
        <v>37.037037037037038</v>
      </c>
    </row>
    <row r="36" spans="1:10" ht="19.5" customHeight="1">
      <c r="A36" s="3" t="s">
        <v>53</v>
      </c>
      <c r="B36" s="3" t="s">
        <v>170</v>
      </c>
      <c r="C36" s="3" t="s">
        <v>172</v>
      </c>
      <c r="D36" s="4">
        <v>12000</v>
      </c>
      <c r="E36" s="3">
        <v>27</v>
      </c>
      <c r="F36" s="3">
        <v>8</v>
      </c>
      <c r="G36" s="5">
        <v>0.41666666666666702</v>
      </c>
      <c r="H36" s="5">
        <v>0.75</v>
      </c>
      <c r="I36" s="6">
        <f t="shared" si="0"/>
        <v>444.44444444444446</v>
      </c>
      <c r="J36" s="6">
        <f t="shared" si="1"/>
        <v>55.555555555555557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93"/>
  <sheetViews>
    <sheetView rightToLeft="1" topLeftCell="A343" zoomScaleNormal="100" workbookViewId="0">
      <selection activeCell="D5" sqref="D5:D993"/>
    </sheetView>
  </sheetViews>
  <sheetFormatPr defaultColWidth="8.7109375" defaultRowHeight="15"/>
  <cols>
    <col min="1" max="1" width="12" customWidth="1"/>
    <col min="2" max="2" width="10" customWidth="1"/>
    <col min="3" max="3" width="12" customWidth="1"/>
    <col min="4" max="4" width="22" style="11" customWidth="1"/>
    <col min="5" max="7" width="14" customWidth="1"/>
    <col min="8" max="11" width="12" customWidth="1"/>
    <col min="12" max="12" width="14" style="12" customWidth="1"/>
    <col min="13" max="13" width="14" customWidth="1"/>
    <col min="14" max="15" width="16" customWidth="1"/>
    <col min="16" max="16" width="14" customWidth="1"/>
  </cols>
  <sheetData>
    <row r="1" spans="1:16" ht="34.5" customHeight="1">
      <c r="A1" s="58" t="s">
        <v>54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16" ht="30" customHeight="1">
      <c r="A2" s="13" t="s">
        <v>55</v>
      </c>
      <c r="B2" s="13" t="s">
        <v>56</v>
      </c>
      <c r="C2" s="13" t="s">
        <v>2</v>
      </c>
      <c r="D2" s="13" t="s">
        <v>3</v>
      </c>
      <c r="E2" s="13" t="s">
        <v>57</v>
      </c>
      <c r="F2" s="13" t="s">
        <v>58</v>
      </c>
      <c r="G2" s="13" t="s">
        <v>59</v>
      </c>
      <c r="H2" s="14" t="s">
        <v>60</v>
      </c>
      <c r="I2" s="14" t="s">
        <v>61</v>
      </c>
      <c r="J2" s="14" t="s">
        <v>138</v>
      </c>
      <c r="K2" s="14" t="s">
        <v>139</v>
      </c>
      <c r="L2" s="15" t="s">
        <v>62</v>
      </c>
      <c r="M2" s="13" t="s">
        <v>63</v>
      </c>
      <c r="N2" s="13" t="s">
        <v>64</v>
      </c>
      <c r="O2" s="13" t="s">
        <v>65</v>
      </c>
      <c r="P2" s="13" t="s">
        <v>66</v>
      </c>
    </row>
    <row r="3" spans="1:16" s="16" customFormat="1" ht="18" customHeight="1">
      <c r="A3" s="57" t="s">
        <v>140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</row>
    <row r="4" spans="1:16" ht="15" customHeight="1">
      <c r="A4" s="17" t="s">
        <v>67</v>
      </c>
      <c r="B4" s="18" t="s">
        <v>68</v>
      </c>
      <c r="C4" s="19" t="s">
        <v>12</v>
      </c>
      <c r="D4" s="19" t="str">
        <f>VLOOKUP(C4,Employees!A:J,2,0)</f>
        <v>احمد خالد</v>
      </c>
      <c r="E4" s="20">
        <v>0.45833333333333298</v>
      </c>
      <c r="F4" s="20">
        <v>0.875</v>
      </c>
      <c r="G4" s="21" t="s">
        <v>69</v>
      </c>
      <c r="H4" s="20">
        <f>E4</f>
        <v>0.45833333333333298</v>
      </c>
      <c r="I4" s="20">
        <f>F4</f>
        <v>0.875</v>
      </c>
      <c r="J4" s="22">
        <f>IF(OR(H4="",G4="غياب",G4="إجازة أسبوعية"),0,
IF(H4&gt;=E4-TIME(0,20,0),0,
IF(H4&gt;=E4-TIME(0,30,0),30,(E4-H4)*1440)))</f>
        <v>0</v>
      </c>
      <c r="K4" s="47">
        <f>(J4/60)*VLOOKUP(C4,Employees!1:1048576,10,0)*1.5</f>
        <v>0</v>
      </c>
      <c r="L4" s="22">
        <f>IF(OR(H4="",G4="غياب",G4="إجازة أسبوعية"),0,
IF(H4&lt;=E4+TIME(0,30,0),0,
30+((H4-(E4+TIME(0,30,0)))*1440)))</f>
        <v>0</v>
      </c>
      <c r="M4" s="23">
        <f>(L4/60)*VLOOKUP(C4,Employees!A:J,10,0)*2</f>
        <v>0</v>
      </c>
      <c r="N4" s="24">
        <f>IF(OR(I4="",G4="غياب",G4="إجازة أسبوعية",I4&lt;=F4),0,
IF(MOD(I4-F4,1)&lt;=TIME(0,25,0),0,MAX(0,(I4-F4)*1440)))</f>
        <v>0</v>
      </c>
      <c r="O4" s="25">
        <f>(N4/60)*VLOOKUP(C4,Employees!A:J,10,0)*1.5</f>
        <v>0</v>
      </c>
      <c r="P4" s="23">
        <f>IF(G4="غياب",VLOOKUP(C4,Employees!$A$3:$J$36,9,FALSE()),0)</f>
        <v>0</v>
      </c>
    </row>
    <row r="5" spans="1:16" ht="15" customHeight="1">
      <c r="A5" s="17" t="s">
        <v>70</v>
      </c>
      <c r="B5" s="18" t="s">
        <v>71</v>
      </c>
      <c r="C5" s="19" t="s">
        <v>12</v>
      </c>
      <c r="D5" s="19" t="str">
        <f>VLOOKUP(C5,Employees!A:J,2,0)</f>
        <v>احمد خالد</v>
      </c>
      <c r="E5" s="20">
        <v>0.45833333333333298</v>
      </c>
      <c r="F5" s="20">
        <v>0.875</v>
      </c>
      <c r="G5" s="21" t="s">
        <v>69</v>
      </c>
      <c r="H5" s="20">
        <f t="shared" ref="H5:H7" si="0">E5</f>
        <v>0.45833333333333298</v>
      </c>
      <c r="I5" s="20">
        <f t="shared" ref="I5:I7" si="1">F5</f>
        <v>0.875</v>
      </c>
      <c r="J5" s="22">
        <f t="shared" ref="J5:J7" si="2">IF(OR(H5="",G5="غياب",G5="إجازة أسبوعية"),0,
IF(H5&gt;=E5-TIME(0,20,0),0,
IF(H5&gt;=E5-TIME(0,30,0),30,(E5-H5)*1440)))</f>
        <v>0</v>
      </c>
      <c r="K5" s="47">
        <f>(J5/60)*VLOOKUP(C5,Employees!A:J,10,0)*1.5</f>
        <v>0</v>
      </c>
      <c r="L5" s="22">
        <f t="shared" ref="L5:L7" si="3">IF(OR(H5="",G5="غياب",G5="إجازة أسبوعية"),0,
IF(H5&lt;=E5+TIME(0,30,0),0,
30+((H5-(E5+TIME(0,30,0)))*1440)))</f>
        <v>0</v>
      </c>
      <c r="M5" s="23">
        <f>(L5/60)*VLOOKUP(C5,Employees!A:J,10,0)*2</f>
        <v>0</v>
      </c>
      <c r="N5" s="24">
        <f t="shared" ref="N5:N7" si="4">IF(OR(I5="",G5="غياب",G5="إجازة أسبوعية",I5&lt;=F5),0,
IF(MOD(I5-F5,1)&lt;=TIME(0,25,0),0,MAX(0,(I5-F5)*1440)))</f>
        <v>0</v>
      </c>
      <c r="O5" s="25">
        <f>(N5/60)*VLOOKUP(C5,Employees!A:J,10,0)*1.5</f>
        <v>0</v>
      </c>
      <c r="P5" s="23">
        <f>IF(G5="غياب",VLOOKUP(C5,Employees!$A$3:$J$36,9,FALSE()),0)</f>
        <v>0</v>
      </c>
    </row>
    <row r="6" spans="1:16" ht="15" customHeight="1">
      <c r="A6" s="17" t="s">
        <v>72</v>
      </c>
      <c r="B6" s="18" t="s">
        <v>73</v>
      </c>
      <c r="C6" s="19" t="s">
        <v>12</v>
      </c>
      <c r="D6" s="19" t="str">
        <f>VLOOKUP(C6,Employees!A:J,2,0)</f>
        <v>احمد خالد</v>
      </c>
      <c r="E6" s="20">
        <v>0.45833333333333298</v>
      </c>
      <c r="F6" s="20">
        <v>0.875</v>
      </c>
      <c r="G6" s="21" t="s">
        <v>69</v>
      </c>
      <c r="H6" s="20">
        <f t="shared" si="0"/>
        <v>0.45833333333333298</v>
      </c>
      <c r="I6" s="20">
        <f t="shared" si="1"/>
        <v>0.875</v>
      </c>
      <c r="J6" s="22">
        <f t="shared" si="2"/>
        <v>0</v>
      </c>
      <c r="K6" s="47">
        <f>(J6/60)*VLOOKUP(C6,Employees!A:J,10,0)*1.5</f>
        <v>0</v>
      </c>
      <c r="L6" s="22">
        <f t="shared" si="3"/>
        <v>0</v>
      </c>
      <c r="M6" s="23">
        <f>(L6/60)*VLOOKUP(C6,Employees!A:J,10,0)*2</f>
        <v>0</v>
      </c>
      <c r="N6" s="24">
        <f t="shared" si="4"/>
        <v>0</v>
      </c>
      <c r="O6" s="25">
        <f>(N6/60)*VLOOKUP(C6,Employees!A:J,10,0)*1.5</f>
        <v>0</v>
      </c>
      <c r="P6" s="23">
        <f>IF(G6="غياب",VLOOKUP(C6,Employees!$A$3:$J$36,9,FALSE()),0)</f>
        <v>0</v>
      </c>
    </row>
    <row r="7" spans="1:16" ht="15" customHeight="1">
      <c r="A7" s="17" t="s">
        <v>74</v>
      </c>
      <c r="B7" s="18" t="s">
        <v>75</v>
      </c>
      <c r="C7" s="19" t="s">
        <v>12</v>
      </c>
      <c r="D7" s="19" t="str">
        <f>VLOOKUP(C7,Employees!A:J,2,0)</f>
        <v>احمد خالد</v>
      </c>
      <c r="E7" s="20">
        <v>0.45833333333333298</v>
      </c>
      <c r="F7" s="20">
        <v>0.875</v>
      </c>
      <c r="G7" s="21" t="s">
        <v>69</v>
      </c>
      <c r="H7" s="20">
        <f t="shared" si="0"/>
        <v>0.45833333333333298</v>
      </c>
      <c r="I7" s="20">
        <f t="shared" si="1"/>
        <v>0.875</v>
      </c>
      <c r="J7" s="22">
        <f t="shared" si="2"/>
        <v>0</v>
      </c>
      <c r="K7" s="47">
        <f>(J7/60)*VLOOKUP(C7,Employees!A:J,10,0)*1.5</f>
        <v>0</v>
      </c>
      <c r="L7" s="22">
        <f t="shared" si="3"/>
        <v>0</v>
      </c>
      <c r="M7" s="23">
        <f>(L7/60)*VLOOKUP(C7,Employees!A:J,10,0)*2</f>
        <v>0</v>
      </c>
      <c r="N7" s="24">
        <f t="shared" si="4"/>
        <v>0</v>
      </c>
      <c r="O7" s="25">
        <f>(N7/60)*VLOOKUP(C7,Employees!A:J,10,0)*1.5</f>
        <v>0</v>
      </c>
      <c r="P7" s="23">
        <f>IF(G7="غياب",VLOOKUP(C7,Employees!$A$3:$J$36,9,FALSE()),0)</f>
        <v>0</v>
      </c>
    </row>
    <row r="8" spans="1:16" ht="15" customHeight="1">
      <c r="A8" s="26" t="s">
        <v>76</v>
      </c>
      <c r="B8" s="27" t="s">
        <v>77</v>
      </c>
      <c r="C8" s="28" t="s">
        <v>12</v>
      </c>
      <c r="D8" s="28" t="str">
        <f>VLOOKUP(C8,Employees!A:J,2,0)</f>
        <v>احمد خالد</v>
      </c>
      <c r="E8" s="29" t="s">
        <v>78</v>
      </c>
      <c r="F8" s="29" t="s">
        <v>78</v>
      </c>
      <c r="G8" s="27" t="s">
        <v>79</v>
      </c>
      <c r="H8" s="29" t="s">
        <v>78</v>
      </c>
      <c r="I8" s="29" t="s">
        <v>78</v>
      </c>
      <c r="J8" s="22" t="s">
        <v>78</v>
      </c>
      <c r="K8" s="47" t="s">
        <v>78</v>
      </c>
      <c r="L8" s="22" t="s">
        <v>78</v>
      </c>
      <c r="M8" s="23" t="s">
        <v>78</v>
      </c>
      <c r="N8" s="24" t="s">
        <v>78</v>
      </c>
      <c r="O8" s="24" t="s">
        <v>78</v>
      </c>
      <c r="P8" s="23">
        <f>IF(G8="غياب",VLOOKUP(C8,Employees!$A$3:$J$36,9,FALSE()),0)</f>
        <v>0</v>
      </c>
    </row>
    <row r="9" spans="1:16" ht="15" customHeight="1">
      <c r="A9" s="17" t="s">
        <v>80</v>
      </c>
      <c r="B9" s="18" t="s">
        <v>81</v>
      </c>
      <c r="C9" s="19" t="s">
        <v>12</v>
      </c>
      <c r="D9" s="19" t="str">
        <f>VLOOKUP(C9,Employees!A:J,2,0)</f>
        <v>احمد خالد</v>
      </c>
      <c r="E9" s="20">
        <v>0.45833333333333298</v>
      </c>
      <c r="F9" s="20">
        <v>0.875</v>
      </c>
      <c r="G9" s="21" t="s">
        <v>69</v>
      </c>
      <c r="H9" s="20">
        <f t="shared" ref="H9:H14" si="5">E9</f>
        <v>0.45833333333333298</v>
      </c>
      <c r="I9" s="20">
        <f t="shared" ref="I9:I14" si="6">F9</f>
        <v>0.875</v>
      </c>
      <c r="J9" s="22">
        <f t="shared" ref="J9:J14" si="7">IF(OR(H9="",G9="غياب",G9="إجازة أسبوعية"),0,
IF(H9&gt;=E9-TIME(0,20,0),0,
IF(H9&gt;=E9-TIME(0,30,0),30,(E9-H9)*1440)))</f>
        <v>0</v>
      </c>
      <c r="K9" s="47">
        <f>(J9/60)*VLOOKUP(C9,Employees!A:J,10,0)*1.5</f>
        <v>0</v>
      </c>
      <c r="L9" s="22">
        <f t="shared" ref="L9:L14" si="8">IF(OR(H9="",G9="غياب",G9="إجازة أسبوعية"),0,
IF(H9&lt;=E9+TIME(0,30,0),0,
30+((H9-(E9+TIME(0,30,0)))*1440)))</f>
        <v>0</v>
      </c>
      <c r="M9" s="23">
        <f>(L9/60)*VLOOKUP(C9,Employees!A:J,10,0)*2</f>
        <v>0</v>
      </c>
      <c r="N9" s="24">
        <f t="shared" ref="N9:N14" si="9">IF(OR(I9="",G9="غياب",G9="إجازة أسبوعية",I9&lt;=F9),0,
IF(MOD(I9-F9,1)&lt;=TIME(0,25,0),0,MAX(0,(I9-F9)*1440)))</f>
        <v>0</v>
      </c>
      <c r="O9" s="25">
        <f>(N9/60)*VLOOKUP(C9,Employees!A:J,10,0)*1.5</f>
        <v>0</v>
      </c>
      <c r="P9" s="23">
        <f>IF(G9="غياب",VLOOKUP(C9,Employees!$A$3:$J$36,9,FALSE()),0)</f>
        <v>0</v>
      </c>
    </row>
    <row r="10" spans="1:16" ht="15" customHeight="1">
      <c r="A10" s="17" t="s">
        <v>82</v>
      </c>
      <c r="B10" s="18" t="s">
        <v>83</v>
      </c>
      <c r="C10" s="19" t="s">
        <v>12</v>
      </c>
      <c r="D10" s="19" t="str">
        <f>VLOOKUP(C10,Employees!A:J,2,0)</f>
        <v>احمد خالد</v>
      </c>
      <c r="E10" s="20">
        <v>0.45833333333333298</v>
      </c>
      <c r="F10" s="20">
        <v>0.875</v>
      </c>
      <c r="G10" s="21" t="s">
        <v>69</v>
      </c>
      <c r="H10" s="20">
        <f t="shared" si="5"/>
        <v>0.45833333333333298</v>
      </c>
      <c r="I10" s="20">
        <f t="shared" si="6"/>
        <v>0.875</v>
      </c>
      <c r="J10" s="22">
        <f t="shared" si="7"/>
        <v>0</v>
      </c>
      <c r="K10" s="47">
        <f>(J10/60)*VLOOKUP(C10,Employees!A:J,10,0)*1.5</f>
        <v>0</v>
      </c>
      <c r="L10" s="22">
        <f t="shared" si="8"/>
        <v>0</v>
      </c>
      <c r="M10" s="23">
        <f>(L10/60)*VLOOKUP(C10,Employees!A:J,10,0)*2</f>
        <v>0</v>
      </c>
      <c r="N10" s="24">
        <f t="shared" si="9"/>
        <v>0</v>
      </c>
      <c r="O10" s="25">
        <f>(N10/60)*VLOOKUP(C10,Employees!A:J,10,0)*1.5</f>
        <v>0</v>
      </c>
      <c r="P10" s="23">
        <f>IF(G10="غياب",VLOOKUP(C10,Employees!$A$3:$J$36,9,FALSE()),0)</f>
        <v>0</v>
      </c>
    </row>
    <row r="11" spans="1:16" ht="15" customHeight="1">
      <c r="A11" s="17" t="s">
        <v>84</v>
      </c>
      <c r="B11" s="18" t="s">
        <v>68</v>
      </c>
      <c r="C11" s="19" t="s">
        <v>12</v>
      </c>
      <c r="D11" s="19" t="str">
        <f>VLOOKUP(C11,Employees!A:J,2,0)</f>
        <v>احمد خالد</v>
      </c>
      <c r="E11" s="20">
        <v>0.45833333333333298</v>
      </c>
      <c r="F11" s="20">
        <v>0.875</v>
      </c>
      <c r="G11" s="21" t="s">
        <v>69</v>
      </c>
      <c r="H11" s="20">
        <f t="shared" si="5"/>
        <v>0.45833333333333298</v>
      </c>
      <c r="I11" s="20">
        <f t="shared" si="6"/>
        <v>0.875</v>
      </c>
      <c r="J11" s="22">
        <f t="shared" si="7"/>
        <v>0</v>
      </c>
      <c r="K11" s="47">
        <f>(J11/60)*VLOOKUP(C11,Employees!A:J,10,0)*1.5</f>
        <v>0</v>
      </c>
      <c r="L11" s="22">
        <f t="shared" si="8"/>
        <v>0</v>
      </c>
      <c r="M11" s="23">
        <f>(L11/60)*VLOOKUP(C11,Employees!A:J,10,0)*2</f>
        <v>0</v>
      </c>
      <c r="N11" s="24">
        <f t="shared" si="9"/>
        <v>0</v>
      </c>
      <c r="O11" s="25">
        <f>(N11/60)*VLOOKUP(C11,Employees!A:J,10,0)*1.5</f>
        <v>0</v>
      </c>
      <c r="P11" s="23">
        <f>IF(G11="غياب",VLOOKUP(C11,Employees!$A$3:$J$36,9,FALSE()),0)</f>
        <v>0</v>
      </c>
    </row>
    <row r="12" spans="1:16" ht="15" customHeight="1">
      <c r="A12" s="17" t="s">
        <v>85</v>
      </c>
      <c r="B12" s="18" t="s">
        <v>71</v>
      </c>
      <c r="C12" s="19" t="s">
        <v>12</v>
      </c>
      <c r="D12" s="19" t="str">
        <f>VLOOKUP(C12,Employees!A:J,2,0)</f>
        <v>احمد خالد</v>
      </c>
      <c r="E12" s="20">
        <v>0.45833333333333298</v>
      </c>
      <c r="F12" s="20">
        <v>0.875</v>
      </c>
      <c r="G12" s="21" t="s">
        <v>69</v>
      </c>
      <c r="H12" s="20">
        <f t="shared" si="5"/>
        <v>0.45833333333333298</v>
      </c>
      <c r="I12" s="20">
        <f t="shared" si="6"/>
        <v>0.875</v>
      </c>
      <c r="J12" s="22">
        <f t="shared" si="7"/>
        <v>0</v>
      </c>
      <c r="K12" s="47">
        <f>(J12/60)*VLOOKUP(C12,Employees!A:J,10,0)*1.5</f>
        <v>0</v>
      </c>
      <c r="L12" s="22">
        <f t="shared" si="8"/>
        <v>0</v>
      </c>
      <c r="M12" s="23">
        <f>(L12/60)*VLOOKUP(C12,Employees!A:J,10,0)*2</f>
        <v>0</v>
      </c>
      <c r="N12" s="24">
        <f t="shared" si="9"/>
        <v>0</v>
      </c>
      <c r="O12" s="25">
        <f>(N12/60)*VLOOKUP(C12,Employees!A:J,10,0)*1.5</f>
        <v>0</v>
      </c>
      <c r="P12" s="23">
        <f>IF(G12="غياب",VLOOKUP(C12,Employees!$A$3:$J$36,9,FALSE()),0)</f>
        <v>0</v>
      </c>
    </row>
    <row r="13" spans="1:16" ht="15" customHeight="1">
      <c r="A13" s="17" t="s">
        <v>86</v>
      </c>
      <c r="B13" s="18" t="s">
        <v>73</v>
      </c>
      <c r="C13" s="19" t="s">
        <v>12</v>
      </c>
      <c r="D13" s="19" t="str">
        <f>VLOOKUP(C13,Employees!A:J,2,0)</f>
        <v>احمد خالد</v>
      </c>
      <c r="E13" s="20">
        <v>0.5</v>
      </c>
      <c r="F13" s="20">
        <v>0.875</v>
      </c>
      <c r="G13" s="21" t="s">
        <v>69</v>
      </c>
      <c r="H13" s="20">
        <f t="shared" si="5"/>
        <v>0.5</v>
      </c>
      <c r="I13" s="20">
        <f t="shared" si="6"/>
        <v>0.875</v>
      </c>
      <c r="J13" s="22">
        <f t="shared" si="7"/>
        <v>0</v>
      </c>
      <c r="K13" s="47">
        <f>(J13/60)*VLOOKUP(C13,Employees!A:J,10,0)*1.5</f>
        <v>0</v>
      </c>
      <c r="L13" s="22">
        <f t="shared" si="8"/>
        <v>0</v>
      </c>
      <c r="M13" s="23">
        <f>(L13/60)*VLOOKUP(C13,Employees!A:J,10,0)*2</f>
        <v>0</v>
      </c>
      <c r="N13" s="24">
        <f t="shared" si="9"/>
        <v>0</v>
      </c>
      <c r="O13" s="25">
        <f>(N13/60)*VLOOKUP(C13,Employees!A:J,10,0)*1.5</f>
        <v>0</v>
      </c>
      <c r="P13" s="23">
        <f>IF(G13="غياب",VLOOKUP(C13,Employees!$A$3:$J$36,9,FALSE()),0)</f>
        <v>0</v>
      </c>
    </row>
    <row r="14" spans="1:16" ht="15" customHeight="1">
      <c r="A14" s="17" t="s">
        <v>87</v>
      </c>
      <c r="B14" s="18" t="s">
        <v>75</v>
      </c>
      <c r="C14" s="19" t="s">
        <v>12</v>
      </c>
      <c r="D14" s="19" t="str">
        <f>VLOOKUP(C14,Employees!A:J,2,0)</f>
        <v>احمد خالد</v>
      </c>
      <c r="E14" s="20">
        <v>0.5</v>
      </c>
      <c r="F14" s="20">
        <v>0.91666666666666696</v>
      </c>
      <c r="G14" s="21" t="s">
        <v>69</v>
      </c>
      <c r="H14" s="20">
        <f t="shared" si="5"/>
        <v>0.5</v>
      </c>
      <c r="I14" s="20">
        <f t="shared" si="6"/>
        <v>0.91666666666666696</v>
      </c>
      <c r="J14" s="22">
        <f t="shared" si="7"/>
        <v>0</v>
      </c>
      <c r="K14" s="47">
        <f>(J14/60)*VLOOKUP(C14,Employees!A:J,10,0)*1.5</f>
        <v>0</v>
      </c>
      <c r="L14" s="22">
        <f t="shared" si="8"/>
        <v>0</v>
      </c>
      <c r="M14" s="23">
        <f>(L14/60)*VLOOKUP(C14,Employees!A:J,10,0)*2</f>
        <v>0</v>
      </c>
      <c r="N14" s="24">
        <f t="shared" si="9"/>
        <v>0</v>
      </c>
      <c r="O14" s="25">
        <f>(N14/60)*VLOOKUP(C14,Employees!A:J,10,0)*1.5</f>
        <v>0</v>
      </c>
      <c r="P14" s="23">
        <f>IF(G14="غياب",VLOOKUP(C14,Employees!$A$3:$J$36,9,FALSE()),0)</f>
        <v>0</v>
      </c>
    </row>
    <row r="15" spans="1:16" ht="15" customHeight="1">
      <c r="A15" s="26" t="s">
        <v>88</v>
      </c>
      <c r="B15" s="27" t="s">
        <v>77</v>
      </c>
      <c r="C15" s="28" t="s">
        <v>12</v>
      </c>
      <c r="D15" s="28" t="str">
        <f>VLOOKUP(C15,Employees!A:J,2,0)</f>
        <v>احمد خالد</v>
      </c>
      <c r="E15" s="29" t="s">
        <v>78</v>
      </c>
      <c r="F15" s="29" t="s">
        <v>78</v>
      </c>
      <c r="G15" s="27" t="s">
        <v>79</v>
      </c>
      <c r="H15" s="29" t="s">
        <v>78</v>
      </c>
      <c r="I15" s="29" t="s">
        <v>78</v>
      </c>
      <c r="J15" s="22" t="s">
        <v>78</v>
      </c>
      <c r="K15" s="47" t="s">
        <v>78</v>
      </c>
      <c r="L15" s="22" t="s">
        <v>78</v>
      </c>
      <c r="M15" s="23" t="s">
        <v>78</v>
      </c>
      <c r="N15" s="24" t="s">
        <v>78</v>
      </c>
      <c r="O15" s="24" t="s">
        <v>78</v>
      </c>
      <c r="P15" s="23">
        <f>IF(G15="غياب",VLOOKUP(C15,Employees!$A$3:$J$36,9,FALSE()),0)</f>
        <v>0</v>
      </c>
    </row>
    <row r="16" spans="1:16" ht="15" customHeight="1">
      <c r="A16" s="26" t="s">
        <v>89</v>
      </c>
      <c r="B16" s="27" t="s">
        <v>81</v>
      </c>
      <c r="C16" s="28" t="s">
        <v>12</v>
      </c>
      <c r="D16" s="28" t="str">
        <f>VLOOKUP(C16,Employees!A:J,2,0)</f>
        <v>احمد خالد</v>
      </c>
      <c r="E16" s="29" t="s">
        <v>78</v>
      </c>
      <c r="F16" s="29" t="s">
        <v>78</v>
      </c>
      <c r="G16" s="27" t="s">
        <v>79</v>
      </c>
      <c r="H16" s="29" t="s">
        <v>78</v>
      </c>
      <c r="I16" s="29" t="s">
        <v>78</v>
      </c>
      <c r="J16" s="22" t="s">
        <v>78</v>
      </c>
      <c r="K16" s="47" t="s">
        <v>78</v>
      </c>
      <c r="L16" s="22" t="s">
        <v>78</v>
      </c>
      <c r="M16" s="23" t="s">
        <v>78</v>
      </c>
      <c r="N16" s="24" t="s">
        <v>78</v>
      </c>
      <c r="O16" s="24" t="s">
        <v>78</v>
      </c>
      <c r="P16" s="23">
        <f>IF(G16="غياب",VLOOKUP(C16,Employees!$A$3:$J$36,9,FALSE()),0)</f>
        <v>0</v>
      </c>
    </row>
    <row r="17" spans="1:16" ht="15" customHeight="1">
      <c r="A17" s="17" t="s">
        <v>90</v>
      </c>
      <c r="B17" s="18" t="s">
        <v>83</v>
      </c>
      <c r="C17" s="19" t="s">
        <v>12</v>
      </c>
      <c r="D17" s="19" t="str">
        <f>VLOOKUP(C17,Employees!A:J,2,0)</f>
        <v>احمد خالد</v>
      </c>
      <c r="E17" s="20">
        <v>0.5</v>
      </c>
      <c r="F17" s="20">
        <v>0.91666666666666696</v>
      </c>
      <c r="G17" s="21" t="s">
        <v>69</v>
      </c>
      <c r="H17" s="20">
        <f>E17</f>
        <v>0.5</v>
      </c>
      <c r="I17" s="20">
        <f>F17</f>
        <v>0.91666666666666696</v>
      </c>
      <c r="J17" s="22">
        <f>IF(OR(H17="",G17="غياب",G17="إجازة أسبوعية"),0,
IF(H17&gt;=E17-TIME(0,20,0),0,
IF(H17&gt;=E17-TIME(0,30,0),30,(E17-H17)*1440)))</f>
        <v>0</v>
      </c>
      <c r="K17" s="47">
        <f>(J17/60)*VLOOKUP(C17,Employees!A:J,10,0)*1.5</f>
        <v>0</v>
      </c>
      <c r="L17" s="22">
        <f>IF(OR(H17="",G17="غياب",G17="إجازة أسبوعية"),0,
IF(H17&lt;=E17+TIME(0,30,0),0,
30+((H17-(E17+TIME(0,30,0)))*1440)))</f>
        <v>0</v>
      </c>
      <c r="M17" s="23">
        <f>(L17/60)*VLOOKUP(C17,Employees!A:J,10,0)*2</f>
        <v>0</v>
      </c>
      <c r="N17" s="24">
        <f>IF(OR(I17="",G17="غياب",G17="إجازة أسبوعية",I17&lt;=F17),0,
IF(MOD(I17-F17,1)&lt;=TIME(0,25,0),0,MAX(0,(I17-F17)*1440)))</f>
        <v>0</v>
      </c>
      <c r="O17" s="25">
        <f>(N17/60)*VLOOKUP(C17,Employees!A:J,10,0)*1.5</f>
        <v>0</v>
      </c>
      <c r="P17" s="23">
        <f>IF(G17="غياب",VLOOKUP(C17,Employees!$A$3:$J$36,9,FALSE()),0)</f>
        <v>0</v>
      </c>
    </row>
    <row r="18" spans="1:16" ht="15" customHeight="1">
      <c r="A18" s="17" t="s">
        <v>91</v>
      </c>
      <c r="B18" s="18" t="s">
        <v>68</v>
      </c>
      <c r="C18" s="19" t="s">
        <v>12</v>
      </c>
      <c r="D18" s="19" t="str">
        <f>VLOOKUP(C18,Employees!A:J,2,0)</f>
        <v>احمد خالد</v>
      </c>
      <c r="E18" s="20">
        <v>0.5</v>
      </c>
      <c r="F18" s="20">
        <v>0.91666666666666696</v>
      </c>
      <c r="G18" s="19" t="s">
        <v>69</v>
      </c>
      <c r="H18" s="30" t="s">
        <v>78</v>
      </c>
      <c r="I18" s="30" t="s">
        <v>78</v>
      </c>
      <c r="J18" s="22">
        <f t="shared" ref="J18:J65" si="10">IF(OR(G18="غياب",G18="إجازة أسبوعية"),0,
IF(H18&gt;=E18-TIME(0,20,0),0,
IF(H18&gt;=E18-TIME(0,30,0),30,(E18-H18)*1440)))</f>
        <v>0</v>
      </c>
      <c r="K18" s="47">
        <f>(J18/60)*VLOOKUP(C18,Employees!A:J,10,0)*1.5</f>
        <v>0</v>
      </c>
      <c r="L18" s="22" t="s">
        <v>78</v>
      </c>
      <c r="M18" s="23" t="s">
        <v>78</v>
      </c>
      <c r="N18" s="24" t="s">
        <v>78</v>
      </c>
      <c r="O18" s="25" t="s">
        <v>78</v>
      </c>
      <c r="P18" s="23">
        <f>IF(G18="غياب",VLOOKUP(C18,Employees!$A$3:$J$36,9,FALSE()),0)</f>
        <v>0</v>
      </c>
    </row>
    <row r="19" spans="1:16" ht="15" customHeight="1">
      <c r="A19" s="17" t="s">
        <v>92</v>
      </c>
      <c r="B19" s="18" t="s">
        <v>71</v>
      </c>
      <c r="C19" s="19" t="s">
        <v>12</v>
      </c>
      <c r="D19" s="19" t="str">
        <f>VLOOKUP(C19,Employees!A:J,2,0)</f>
        <v>احمد خالد</v>
      </c>
      <c r="E19" s="20">
        <v>0.5</v>
      </c>
      <c r="F19" s="20">
        <v>0.91666666666666696</v>
      </c>
      <c r="G19" s="21" t="s">
        <v>69</v>
      </c>
      <c r="H19" s="20">
        <f t="shared" ref="H19:H21" si="11">E19</f>
        <v>0.5</v>
      </c>
      <c r="I19" s="20">
        <f t="shared" ref="I19:I21" si="12">F19</f>
        <v>0.91666666666666696</v>
      </c>
      <c r="J19" s="22">
        <f t="shared" ref="J19:J21" si="13">IF(OR(H19="",G19="غياب",G19="إجازة أسبوعية"),0,
IF(H19&gt;=E19-TIME(0,20,0),0,
IF(H19&gt;=E19-TIME(0,30,0),30,(E19-H19)*1440)))</f>
        <v>0</v>
      </c>
      <c r="K19" s="47">
        <f>(J19/60)*VLOOKUP(C19,Employees!A:J,10,0)*1.5</f>
        <v>0</v>
      </c>
      <c r="L19" s="22">
        <f t="shared" ref="L19:L21" si="14">IF(OR(H19="",G19="غياب",G19="إجازة أسبوعية"),0,
IF(H19&lt;=E19+TIME(0,30,0),0,
30+((H19-(E19+TIME(0,30,0)))*1440)))</f>
        <v>0</v>
      </c>
      <c r="M19" s="23">
        <f>(L19/60)*VLOOKUP(C19,Employees!A:J,10,0)*2</f>
        <v>0</v>
      </c>
      <c r="N19" s="24">
        <f t="shared" ref="N19:N21" si="15">IF(OR(I19="",G19="غياب",G19="إجازة أسبوعية",I19&lt;=F19),0,
IF(MOD(I19-F19,1)&lt;=TIME(0,25,0),0,MAX(0,(I19-F19)*1440)))</f>
        <v>0</v>
      </c>
      <c r="O19" s="25">
        <f>(N19/60)*VLOOKUP(C19,Employees!A:J,10,0)*1.5</f>
        <v>0</v>
      </c>
      <c r="P19" s="23">
        <f>IF(G19="غياب",VLOOKUP(C19,Employees!$A$3:$J$36,9,FALSE()),0)</f>
        <v>0</v>
      </c>
    </row>
    <row r="20" spans="1:16" ht="15" customHeight="1">
      <c r="A20" s="17" t="s">
        <v>93</v>
      </c>
      <c r="B20" s="18" t="s">
        <v>73</v>
      </c>
      <c r="C20" s="19" t="s">
        <v>12</v>
      </c>
      <c r="D20" s="19" t="str">
        <f>VLOOKUP(C20,Employees!A:J,2,0)</f>
        <v>احمد خالد</v>
      </c>
      <c r="E20" s="20">
        <v>0.5</v>
      </c>
      <c r="F20" s="20">
        <v>0.91666666666666696</v>
      </c>
      <c r="G20" s="21" t="s">
        <v>69</v>
      </c>
      <c r="H20" s="20">
        <f t="shared" si="11"/>
        <v>0.5</v>
      </c>
      <c r="I20" s="20">
        <f t="shared" si="12"/>
        <v>0.91666666666666696</v>
      </c>
      <c r="J20" s="22">
        <f t="shared" si="13"/>
        <v>0</v>
      </c>
      <c r="K20" s="47">
        <f>(J20/60)*VLOOKUP(C20,Employees!A:J,10,0)*1.5</f>
        <v>0</v>
      </c>
      <c r="L20" s="22">
        <f t="shared" si="14"/>
        <v>0</v>
      </c>
      <c r="M20" s="23">
        <f>(L20/60)*VLOOKUP(C20,Employees!A:J,10,0)*2</f>
        <v>0</v>
      </c>
      <c r="N20" s="24">
        <f t="shared" si="15"/>
        <v>0</v>
      </c>
      <c r="O20" s="25">
        <f>(N20/60)*VLOOKUP(C20,Employees!A:J,10,0)*1.5</f>
        <v>0</v>
      </c>
      <c r="P20" s="23">
        <f>IF(G20="غياب",VLOOKUP(C20,Employees!$A$3:$J$36,9,FALSE()),0)</f>
        <v>0</v>
      </c>
    </row>
    <row r="21" spans="1:16" ht="15" customHeight="1">
      <c r="A21" s="17" t="s">
        <v>94</v>
      </c>
      <c r="B21" s="18" t="s">
        <v>75</v>
      </c>
      <c r="C21" s="19" t="s">
        <v>12</v>
      </c>
      <c r="D21" s="19" t="str">
        <f>VLOOKUP(C21,Employees!A:J,2,0)</f>
        <v>احمد خالد</v>
      </c>
      <c r="E21" s="20">
        <v>0.5</v>
      </c>
      <c r="F21" s="20">
        <v>0.91666666666666696</v>
      </c>
      <c r="G21" s="21" t="s">
        <v>69</v>
      </c>
      <c r="H21" s="20">
        <f t="shared" si="11"/>
        <v>0.5</v>
      </c>
      <c r="I21" s="20">
        <f t="shared" si="12"/>
        <v>0.91666666666666696</v>
      </c>
      <c r="J21" s="22">
        <f t="shared" si="13"/>
        <v>0</v>
      </c>
      <c r="K21" s="47">
        <f>(J21/60)*VLOOKUP(C21,Employees!A:J,10,0)*1.5</f>
        <v>0</v>
      </c>
      <c r="L21" s="22">
        <f t="shared" si="14"/>
        <v>0</v>
      </c>
      <c r="M21" s="23">
        <f>(L21/60)*VLOOKUP(C21,Employees!A:J,10,0)*2</f>
        <v>0</v>
      </c>
      <c r="N21" s="24">
        <f t="shared" si="15"/>
        <v>0</v>
      </c>
      <c r="O21" s="25">
        <f>(N21/60)*VLOOKUP(C21,Employees!A:J,10,0)*1.5</f>
        <v>0</v>
      </c>
      <c r="P21" s="23">
        <f>IF(G21="غياب",VLOOKUP(C21,Employees!$A$3:$J$36,9,FALSE()),0)</f>
        <v>0</v>
      </c>
    </row>
    <row r="22" spans="1:16" ht="15" customHeight="1">
      <c r="A22" s="26" t="s">
        <v>95</v>
      </c>
      <c r="B22" s="27" t="s">
        <v>77</v>
      </c>
      <c r="C22" s="28" t="s">
        <v>12</v>
      </c>
      <c r="D22" s="28" t="str">
        <f>VLOOKUP(C22,Employees!A:J,2,0)</f>
        <v>احمد خالد</v>
      </c>
      <c r="E22" s="29" t="s">
        <v>78</v>
      </c>
      <c r="F22" s="29" t="s">
        <v>78</v>
      </c>
      <c r="G22" s="27" t="s">
        <v>79</v>
      </c>
      <c r="H22" s="29" t="s">
        <v>78</v>
      </c>
      <c r="I22" s="29" t="s">
        <v>78</v>
      </c>
      <c r="J22" s="22" t="s">
        <v>78</v>
      </c>
      <c r="K22" s="47" t="s">
        <v>78</v>
      </c>
      <c r="L22" s="22" t="s">
        <v>78</v>
      </c>
      <c r="M22" s="23" t="s">
        <v>78</v>
      </c>
      <c r="N22" s="24" t="s">
        <v>78</v>
      </c>
      <c r="O22" s="24" t="s">
        <v>78</v>
      </c>
      <c r="P22" s="23">
        <f>IF(G22="غياب",VLOOKUP(C22,Employees!$A$3:$J$36,9,FALSE()),0)</f>
        <v>0</v>
      </c>
    </row>
    <row r="23" spans="1:16" ht="15" customHeight="1">
      <c r="A23" s="17" t="s">
        <v>96</v>
      </c>
      <c r="B23" s="18" t="s">
        <v>81</v>
      </c>
      <c r="C23" s="19" t="s">
        <v>12</v>
      </c>
      <c r="D23" s="19" t="str">
        <f>VLOOKUP(C23,Employees!A:J,2,0)</f>
        <v>احمد خالد</v>
      </c>
      <c r="E23" s="20">
        <v>0.5</v>
      </c>
      <c r="F23" s="20">
        <v>0.91666666666666696</v>
      </c>
      <c r="G23" s="21" t="s">
        <v>69</v>
      </c>
      <c r="H23" s="20">
        <f t="shared" ref="H23:H28" si="16">E23</f>
        <v>0.5</v>
      </c>
      <c r="I23" s="20">
        <f t="shared" ref="I23:I28" si="17">F23</f>
        <v>0.91666666666666696</v>
      </c>
      <c r="J23" s="22">
        <f t="shared" ref="J23:J28" si="18">IF(OR(H23="",G23="غياب",G23="إجازة أسبوعية"),0,
IF(H23&gt;=E23-TIME(0,20,0),0,
IF(H23&gt;=E23-TIME(0,30,0),30,(E23-H23)*1440)))</f>
        <v>0</v>
      </c>
      <c r="K23" s="47">
        <f>(J23/60)*VLOOKUP(C23,Employees!A:J,10,0)*1.5</f>
        <v>0</v>
      </c>
      <c r="L23" s="22">
        <f t="shared" ref="L23:L28" si="19">IF(OR(H23="",G23="غياب",G23="إجازة أسبوعية"),0,
IF(H23&lt;=E23+TIME(0,30,0),0,
30+((H23-(E23+TIME(0,30,0)))*1440)))</f>
        <v>0</v>
      </c>
      <c r="M23" s="23">
        <f>(L23/60)*VLOOKUP(C23,Employees!A:J,10,0)*2</f>
        <v>0</v>
      </c>
      <c r="N23" s="24">
        <f t="shared" ref="N23:N28" si="20">IF(OR(I23="",G23="غياب",G23="إجازة أسبوعية",I23&lt;=F23),0,
IF(MOD(I23-F23,1)&lt;=TIME(0,25,0),0,MAX(0,(I23-F23)*1440)))</f>
        <v>0</v>
      </c>
      <c r="O23" s="25">
        <f>(N23/60)*VLOOKUP(C23,Employees!A:J,10,0)*1.5</f>
        <v>0</v>
      </c>
      <c r="P23" s="23">
        <f>IF(G23="غياب",VLOOKUP(C23,Employees!$A$3:$J$36,9,FALSE()),0)</f>
        <v>0</v>
      </c>
    </row>
    <row r="24" spans="1:16" ht="15" customHeight="1">
      <c r="A24" s="17" t="s">
        <v>97</v>
      </c>
      <c r="B24" s="18" t="s">
        <v>83</v>
      </c>
      <c r="C24" s="19" t="s">
        <v>12</v>
      </c>
      <c r="D24" s="19" t="str">
        <f>VLOOKUP(C24,Employees!A:J,2,0)</f>
        <v>احمد خالد</v>
      </c>
      <c r="E24" s="20">
        <v>0.5</v>
      </c>
      <c r="F24" s="20">
        <v>0.91666666666666696</v>
      </c>
      <c r="G24" s="21" t="s">
        <v>69</v>
      </c>
      <c r="H24" s="20">
        <f t="shared" si="16"/>
        <v>0.5</v>
      </c>
      <c r="I24" s="20">
        <f t="shared" si="17"/>
        <v>0.91666666666666696</v>
      </c>
      <c r="J24" s="22">
        <f t="shared" si="18"/>
        <v>0</v>
      </c>
      <c r="K24" s="47">
        <f>(J24/60)*VLOOKUP(C24,Employees!A:J,10,0)*1.5</f>
        <v>0</v>
      </c>
      <c r="L24" s="22">
        <f t="shared" si="19"/>
        <v>0</v>
      </c>
      <c r="M24" s="23">
        <f>(L24/60)*VLOOKUP(C24,Employees!A:J,10,0)*2</f>
        <v>0</v>
      </c>
      <c r="N24" s="24">
        <f t="shared" si="20"/>
        <v>0</v>
      </c>
      <c r="O24" s="25">
        <f>(N24/60)*VLOOKUP(C24,Employees!A:J,10,0)*1.5</f>
        <v>0</v>
      </c>
      <c r="P24" s="23">
        <f>IF(G24="غياب",VLOOKUP(C24,Employees!$A$3:$J$36,9,FALSE()),0)</f>
        <v>0</v>
      </c>
    </row>
    <row r="25" spans="1:16" ht="15" customHeight="1">
      <c r="A25" s="17" t="s">
        <v>98</v>
      </c>
      <c r="B25" s="18" t="s">
        <v>68</v>
      </c>
      <c r="C25" s="19" t="s">
        <v>12</v>
      </c>
      <c r="D25" s="19" t="str">
        <f>VLOOKUP(C25,Employees!A:J,2,0)</f>
        <v>احمد خالد</v>
      </c>
      <c r="E25" s="20">
        <v>0.5</v>
      </c>
      <c r="F25" s="20">
        <v>0.91666666666666696</v>
      </c>
      <c r="G25" s="21" t="s">
        <v>69</v>
      </c>
      <c r="H25" s="20">
        <f t="shared" si="16"/>
        <v>0.5</v>
      </c>
      <c r="I25" s="20">
        <f t="shared" si="17"/>
        <v>0.91666666666666696</v>
      </c>
      <c r="J25" s="22">
        <f t="shared" si="18"/>
        <v>0</v>
      </c>
      <c r="K25" s="47">
        <f>(J25/60)*VLOOKUP(C25,Employees!A:J,10,0)*1.5</f>
        <v>0</v>
      </c>
      <c r="L25" s="22">
        <f t="shared" si="19"/>
        <v>0</v>
      </c>
      <c r="M25" s="23">
        <f>(L25/60)*VLOOKUP(C25,Employees!A:J,10,0)*2</f>
        <v>0</v>
      </c>
      <c r="N25" s="24">
        <f t="shared" si="20"/>
        <v>0</v>
      </c>
      <c r="O25" s="25">
        <f>(N25/60)*VLOOKUP(C25,Employees!A:J,10,0)*1.5</f>
        <v>0</v>
      </c>
      <c r="P25" s="23">
        <f>IF(G25="غياب",VLOOKUP(C25,Employees!$A$3:$J$36,9,FALSE()),0)</f>
        <v>0</v>
      </c>
    </row>
    <row r="26" spans="1:16" ht="15" customHeight="1">
      <c r="A26" s="17" t="s">
        <v>99</v>
      </c>
      <c r="B26" s="18" t="s">
        <v>71</v>
      </c>
      <c r="C26" s="19" t="s">
        <v>12</v>
      </c>
      <c r="D26" s="19" t="str">
        <f>VLOOKUP(C26,Employees!A:J,2,0)</f>
        <v>احمد خالد</v>
      </c>
      <c r="E26" s="20">
        <v>0.5</v>
      </c>
      <c r="F26" s="20">
        <v>0.91666666666666696</v>
      </c>
      <c r="G26" s="21" t="s">
        <v>69</v>
      </c>
      <c r="H26" s="20">
        <f t="shared" si="16"/>
        <v>0.5</v>
      </c>
      <c r="I26" s="20">
        <f t="shared" si="17"/>
        <v>0.91666666666666696</v>
      </c>
      <c r="J26" s="22">
        <f t="shared" si="18"/>
        <v>0</v>
      </c>
      <c r="K26" s="47">
        <f>(J26/60)*VLOOKUP(C26,Employees!A:J,10,0)*1.5</f>
        <v>0</v>
      </c>
      <c r="L26" s="22">
        <f t="shared" si="19"/>
        <v>0</v>
      </c>
      <c r="M26" s="23">
        <f>(L26/60)*VLOOKUP(C26,Employees!A:J,10,0)*2</f>
        <v>0</v>
      </c>
      <c r="N26" s="24">
        <f t="shared" si="20"/>
        <v>0</v>
      </c>
      <c r="O26" s="25">
        <f>(N26/60)*VLOOKUP(C26,Employees!A:J,10,0)*1.5</f>
        <v>0</v>
      </c>
      <c r="P26" s="23">
        <f>IF(G26="غياب",VLOOKUP(C26,Employees!$A$3:$J$36,9,FALSE()),0)</f>
        <v>0</v>
      </c>
    </row>
    <row r="27" spans="1:16" ht="15" customHeight="1">
      <c r="A27" s="17" t="s">
        <v>100</v>
      </c>
      <c r="B27" s="18" t="s">
        <v>73</v>
      </c>
      <c r="C27" s="19" t="s">
        <v>12</v>
      </c>
      <c r="D27" s="19" t="str">
        <f>VLOOKUP(C27,Employees!A:J,2,0)</f>
        <v>احمد خالد</v>
      </c>
      <c r="E27" s="20">
        <v>0.45833333333333331</v>
      </c>
      <c r="F27" s="20">
        <v>0.875</v>
      </c>
      <c r="G27" s="21" t="s">
        <v>69</v>
      </c>
      <c r="H27" s="20">
        <f t="shared" si="16"/>
        <v>0.45833333333333331</v>
      </c>
      <c r="I27" s="20">
        <f t="shared" si="17"/>
        <v>0.875</v>
      </c>
      <c r="J27" s="22">
        <f t="shared" si="18"/>
        <v>0</v>
      </c>
      <c r="K27" s="47">
        <f>(J27/60)*VLOOKUP(C27,Employees!A:J,10,0)*1.5</f>
        <v>0</v>
      </c>
      <c r="L27" s="22">
        <f t="shared" si="19"/>
        <v>0</v>
      </c>
      <c r="M27" s="23">
        <f>(L27/60)*VLOOKUP(C27,Employees!A:J,10,0)*2</f>
        <v>0</v>
      </c>
      <c r="N27" s="24">
        <f t="shared" si="20"/>
        <v>0</v>
      </c>
      <c r="O27" s="25">
        <f>(N27/60)*VLOOKUP(C27,Employees!A:J,10,0)*1.5</f>
        <v>0</v>
      </c>
      <c r="P27" s="23">
        <f>IF(G27="غياب",VLOOKUP(C27,Employees!$A$3:$J$36,9,FALSE()),0)</f>
        <v>0</v>
      </c>
    </row>
    <row r="28" spans="1:16" ht="15" customHeight="1">
      <c r="A28" s="17" t="s">
        <v>101</v>
      </c>
      <c r="B28" s="18" t="s">
        <v>75</v>
      </c>
      <c r="C28" s="19" t="s">
        <v>12</v>
      </c>
      <c r="D28" s="19" t="str">
        <f>VLOOKUP(C28,Employees!A:J,2,0)</f>
        <v>احمد خالد</v>
      </c>
      <c r="E28" s="20">
        <v>0.45833333333333331</v>
      </c>
      <c r="F28" s="20">
        <v>0.875</v>
      </c>
      <c r="G28" s="21" t="s">
        <v>69</v>
      </c>
      <c r="H28" s="20">
        <f t="shared" si="16"/>
        <v>0.45833333333333331</v>
      </c>
      <c r="I28" s="20">
        <f t="shared" si="17"/>
        <v>0.875</v>
      </c>
      <c r="J28" s="22">
        <f t="shared" si="18"/>
        <v>0</v>
      </c>
      <c r="K28" s="47">
        <f>(J28/60)*VLOOKUP(C28,Employees!A:J,10,0)*1.5</f>
        <v>0</v>
      </c>
      <c r="L28" s="22">
        <f t="shared" si="19"/>
        <v>0</v>
      </c>
      <c r="M28" s="23">
        <f>(L28/60)*VLOOKUP(C28,Employees!A:J,10,0)*2</f>
        <v>0</v>
      </c>
      <c r="N28" s="24">
        <f t="shared" si="20"/>
        <v>0</v>
      </c>
      <c r="O28" s="25">
        <f>(N28/60)*VLOOKUP(C28,Employees!A:J,10,0)*1.5</f>
        <v>0</v>
      </c>
      <c r="P28" s="23">
        <f>IF(G28="غياب",VLOOKUP(C28,Employees!$A$3:$J$36,9,FALSE()),0)</f>
        <v>0</v>
      </c>
    </row>
    <row r="29" spans="1:16" ht="15" customHeight="1">
      <c r="A29" s="26" t="s">
        <v>102</v>
      </c>
      <c r="B29" s="27" t="s">
        <v>77</v>
      </c>
      <c r="C29" s="28" t="s">
        <v>12</v>
      </c>
      <c r="D29" s="28" t="str">
        <f>VLOOKUP(C29,Employees!A:J,2,0)</f>
        <v>احمد خالد</v>
      </c>
      <c r="E29" s="29" t="s">
        <v>78</v>
      </c>
      <c r="F29" s="29" t="s">
        <v>78</v>
      </c>
      <c r="G29" s="27" t="s">
        <v>79</v>
      </c>
      <c r="H29" s="29" t="s">
        <v>78</v>
      </c>
      <c r="I29" s="29" t="s">
        <v>78</v>
      </c>
      <c r="J29" s="22" t="s">
        <v>78</v>
      </c>
      <c r="K29" s="47" t="s">
        <v>78</v>
      </c>
      <c r="L29" s="22" t="s">
        <v>78</v>
      </c>
      <c r="M29" s="23" t="s">
        <v>78</v>
      </c>
      <c r="N29" s="24" t="s">
        <v>78</v>
      </c>
      <c r="O29" s="24" t="s">
        <v>78</v>
      </c>
      <c r="P29" s="23">
        <f>IF(G29="غياب",VLOOKUP(C29,Employees!$A$3:$J$36,9,FALSE()),0)</f>
        <v>0</v>
      </c>
    </row>
    <row r="30" spans="1:16" ht="15" customHeight="1">
      <c r="A30" s="17" t="s">
        <v>103</v>
      </c>
      <c r="B30" s="18" t="s">
        <v>81</v>
      </c>
      <c r="C30" s="19" t="s">
        <v>12</v>
      </c>
      <c r="D30" s="19" t="str">
        <f>VLOOKUP(C30,Employees!A:J,2,0)</f>
        <v>احمد خالد</v>
      </c>
      <c r="E30" s="20">
        <v>0.45833333333333331</v>
      </c>
      <c r="F30" s="20">
        <v>0.875</v>
      </c>
      <c r="G30" s="21" t="s">
        <v>69</v>
      </c>
      <c r="H30" s="20">
        <f t="shared" ref="H30:H33" si="21">E30</f>
        <v>0.45833333333333331</v>
      </c>
      <c r="I30" s="20">
        <f t="shared" ref="I30:I33" si="22">F30</f>
        <v>0.875</v>
      </c>
      <c r="J30" s="22">
        <f t="shared" ref="J30:J37" si="23">IF(OR(H30="",G30="غياب",G30="إجازة أسبوعية"),0,
IF(H30&gt;=E30-TIME(0,20,0),0,
IF(H30&gt;=E30-TIME(0,30,0),30,(E30-H30)*1440)))</f>
        <v>0</v>
      </c>
      <c r="K30" s="47">
        <f>(J30/60)*VLOOKUP(C30,Employees!A:J,10,0)*1.5</f>
        <v>0</v>
      </c>
      <c r="L30" s="22">
        <f t="shared" ref="L30:L37" si="24">IF(OR(H30="",G30="غياب",G30="إجازة أسبوعية"),0,
IF(H30&lt;=E30+TIME(0,30,0),0,
30+((H30-(E30+TIME(0,30,0)))*1440)))</f>
        <v>0</v>
      </c>
      <c r="M30" s="23">
        <f>(L30/60)*VLOOKUP(C30,Employees!A:J,10,0)*2</f>
        <v>0</v>
      </c>
      <c r="N30" s="24">
        <f t="shared" ref="N30:N37" si="25">IF(OR(I30="",G30="غياب",G30="إجازة أسبوعية",I30&lt;=F30),0,
IF(MOD(I30-F30,1)&lt;=TIME(0,25,0),0,MAX(0,(I30-F30)*1440)))</f>
        <v>0</v>
      </c>
      <c r="O30" s="25">
        <f>(N30/60)*VLOOKUP(C30,Employees!A:J,10,0)*1.5</f>
        <v>0</v>
      </c>
      <c r="P30" s="23">
        <f>IF(G30="غياب",VLOOKUP(C30,Employees!$A$3:$J$36,9,FALSE()),0)</f>
        <v>0</v>
      </c>
    </row>
    <row r="31" spans="1:16" ht="15" customHeight="1">
      <c r="A31" s="17" t="s">
        <v>104</v>
      </c>
      <c r="B31" s="18" t="s">
        <v>83</v>
      </c>
      <c r="C31" s="19" t="s">
        <v>12</v>
      </c>
      <c r="D31" s="19" t="str">
        <f>VLOOKUP(C31,Employees!A:J,2,0)</f>
        <v>احمد خالد</v>
      </c>
      <c r="E31" s="20">
        <v>0.45833333333333331</v>
      </c>
      <c r="F31" s="20">
        <v>0.875</v>
      </c>
      <c r="G31" s="21" t="s">
        <v>69</v>
      </c>
      <c r="H31" s="20">
        <f t="shared" si="21"/>
        <v>0.45833333333333331</v>
      </c>
      <c r="I31" s="20">
        <f t="shared" si="22"/>
        <v>0.875</v>
      </c>
      <c r="J31" s="22">
        <f t="shared" si="23"/>
        <v>0</v>
      </c>
      <c r="K31" s="47">
        <f>(J31/60)*VLOOKUP(C31,Employees!A:J,10,0)*1.5</f>
        <v>0</v>
      </c>
      <c r="L31" s="22">
        <f t="shared" si="24"/>
        <v>0</v>
      </c>
      <c r="M31" s="23">
        <f>(L31/60)*VLOOKUP(C31,Employees!A:J,10,0)*2</f>
        <v>0</v>
      </c>
      <c r="N31" s="24">
        <f t="shared" si="25"/>
        <v>0</v>
      </c>
      <c r="O31" s="25">
        <f>(N31/60)*VLOOKUP(C31,Employees!A:J,10,0)*1.5</f>
        <v>0</v>
      </c>
      <c r="P31" s="23">
        <f>IF(G31="غياب",VLOOKUP(C31,Employees!$A$3:$J$36,9,FALSE()),0)</f>
        <v>0</v>
      </c>
    </row>
    <row r="32" spans="1:16" ht="15" customHeight="1">
      <c r="A32" s="17" t="s">
        <v>105</v>
      </c>
      <c r="B32" s="18" t="s">
        <v>68</v>
      </c>
      <c r="C32" s="19" t="s">
        <v>12</v>
      </c>
      <c r="D32" s="19" t="str">
        <f>VLOOKUP(C32,Employees!A:J,2,0)</f>
        <v>احمد خالد</v>
      </c>
      <c r="E32" s="20">
        <v>0.45833333333333331</v>
      </c>
      <c r="F32" s="20">
        <v>0.875</v>
      </c>
      <c r="G32" s="21" t="s">
        <v>69</v>
      </c>
      <c r="H32" s="20">
        <f t="shared" si="21"/>
        <v>0.45833333333333331</v>
      </c>
      <c r="I32" s="20">
        <f t="shared" si="22"/>
        <v>0.875</v>
      </c>
      <c r="J32" s="22">
        <f t="shared" si="23"/>
        <v>0</v>
      </c>
      <c r="K32" s="47">
        <f>(J32/60)*VLOOKUP(C32,Employees!A:J,10,0)*1.5</f>
        <v>0</v>
      </c>
      <c r="L32" s="22">
        <f t="shared" si="24"/>
        <v>0</v>
      </c>
      <c r="M32" s="23">
        <f>(L32/60)*VLOOKUP(C32,Employees!A:J,10,0)*2</f>
        <v>0</v>
      </c>
      <c r="N32" s="24">
        <f t="shared" si="25"/>
        <v>0</v>
      </c>
      <c r="O32" s="25">
        <f>(N32/60)*VLOOKUP(C32,Employees!A:J,10,0)*1.5</f>
        <v>0</v>
      </c>
      <c r="P32" s="23">
        <f>IF(G32="غياب",VLOOKUP(C32,Employees!$A$3:$J$36,9,FALSE()),0)</f>
        <v>0</v>
      </c>
    </row>
    <row r="33" spans="1:16" ht="15" customHeight="1">
      <c r="A33" s="17" t="s">
        <v>106</v>
      </c>
      <c r="B33" s="18" t="s">
        <v>71</v>
      </c>
      <c r="C33" s="19" t="s">
        <v>12</v>
      </c>
      <c r="D33" s="19" t="str">
        <f>VLOOKUP(C33,Employees!A:J,2,0)</f>
        <v>احمد خالد</v>
      </c>
      <c r="E33" s="20">
        <v>0.45833333333333331</v>
      </c>
      <c r="F33" s="20">
        <v>0.875</v>
      </c>
      <c r="G33" s="21" t="s">
        <v>69</v>
      </c>
      <c r="H33" s="20">
        <f t="shared" si="21"/>
        <v>0.45833333333333331</v>
      </c>
      <c r="I33" s="20">
        <f t="shared" si="22"/>
        <v>0.875</v>
      </c>
      <c r="J33" s="22">
        <f t="shared" si="23"/>
        <v>0</v>
      </c>
      <c r="K33" s="47">
        <f>(J33/60)*VLOOKUP(C33,Employees!A:J,10,0)*1.5</f>
        <v>0</v>
      </c>
      <c r="L33" s="22">
        <f t="shared" si="24"/>
        <v>0</v>
      </c>
      <c r="M33" s="23">
        <f>(L33/60)*VLOOKUP(C33,Employees!A:J,10,0)*2</f>
        <v>0</v>
      </c>
      <c r="N33" s="24">
        <f t="shared" si="25"/>
        <v>0</v>
      </c>
      <c r="O33" s="25">
        <f>(N33/60)*VLOOKUP(C33,Employees!A:J,10,0)*1.5</f>
        <v>0</v>
      </c>
      <c r="P33" s="23">
        <f>IF(G33="غياب",VLOOKUP(C33,Employees!$A$3:$J$36,9,FALSE()),0)</f>
        <v>0</v>
      </c>
    </row>
    <row r="34" spans="1:16" ht="15" customHeight="1">
      <c r="A34" s="17" t="s">
        <v>67</v>
      </c>
      <c r="B34" s="19" t="s">
        <v>68</v>
      </c>
      <c r="C34" s="19" t="s">
        <v>13</v>
      </c>
      <c r="D34" s="19" t="str">
        <f>VLOOKUP(C34,Employees!A:J,2,0)</f>
        <v>هشام عادل</v>
      </c>
      <c r="E34" s="20">
        <v>0.39791666666666664</v>
      </c>
      <c r="F34" s="20">
        <v>0.75</v>
      </c>
      <c r="G34" s="21" t="s">
        <v>69</v>
      </c>
      <c r="H34" s="20">
        <f>E34</f>
        <v>0.39791666666666664</v>
      </c>
      <c r="I34" s="20">
        <f>F34</f>
        <v>0.75</v>
      </c>
      <c r="J34" s="22">
        <f t="shared" si="23"/>
        <v>0</v>
      </c>
      <c r="K34" s="47">
        <f>(J34/60)*VLOOKUP(C34,Employees!A:J,10,0)*1.5</f>
        <v>0</v>
      </c>
      <c r="L34" s="22">
        <f t="shared" si="24"/>
        <v>0</v>
      </c>
      <c r="M34" s="23">
        <f>(L34/60)*VLOOKUP(C34,Employees!A:J,10,0)*2</f>
        <v>0</v>
      </c>
      <c r="N34" s="24">
        <f t="shared" si="25"/>
        <v>0</v>
      </c>
      <c r="O34" s="25">
        <f>(N34/60)*VLOOKUP(C34,Employees!A:J,10,0)*1.5</f>
        <v>0</v>
      </c>
      <c r="P34" s="23">
        <f>IF(G34="غياب",VLOOKUP(C34,Employees!$A$3:$J$36,9,FALSE()),0)</f>
        <v>0</v>
      </c>
    </row>
    <row r="35" spans="1:16" ht="15" customHeight="1">
      <c r="A35" s="17" t="s">
        <v>70</v>
      </c>
      <c r="B35" s="19" t="s">
        <v>71</v>
      </c>
      <c r="C35" s="19" t="s">
        <v>13</v>
      </c>
      <c r="D35" s="19" t="str">
        <f>VLOOKUP(C35,Employees!A:J,2,0)</f>
        <v>هشام عادل</v>
      </c>
      <c r="E35" s="20">
        <v>0.39166666666666666</v>
      </c>
      <c r="F35" s="20">
        <v>0.75</v>
      </c>
      <c r="G35" s="21" t="s">
        <v>69</v>
      </c>
      <c r="H35" s="20">
        <f t="shared" ref="H35:H37" si="26">E35</f>
        <v>0.39166666666666666</v>
      </c>
      <c r="I35" s="20">
        <f t="shared" ref="I35:I37" si="27">F35</f>
        <v>0.75</v>
      </c>
      <c r="J35" s="22">
        <f t="shared" si="23"/>
        <v>0</v>
      </c>
      <c r="K35" s="47">
        <f>(J35/60)*VLOOKUP(C35,Employees!A:J,10,0)*1.5</f>
        <v>0</v>
      </c>
      <c r="L35" s="22">
        <f t="shared" si="24"/>
        <v>0</v>
      </c>
      <c r="M35" s="23">
        <f>(L35/60)*VLOOKUP(C35,Employees!A:J,10,0)*2</f>
        <v>0</v>
      </c>
      <c r="N35" s="24">
        <f t="shared" si="25"/>
        <v>0</v>
      </c>
      <c r="O35" s="25">
        <f>(N35/60)*VLOOKUP(C35,Employees!A:J,10,0)*1.5</f>
        <v>0</v>
      </c>
      <c r="P35" s="23">
        <f>IF(G35="غياب",VLOOKUP(C35,Employees!$A$3:$J$36,9,FALSE()),0)</f>
        <v>0</v>
      </c>
    </row>
    <row r="36" spans="1:16" ht="15" customHeight="1">
      <c r="A36" s="17" t="s">
        <v>72</v>
      </c>
      <c r="B36" s="19" t="s">
        <v>73</v>
      </c>
      <c r="C36" s="19" t="s">
        <v>13</v>
      </c>
      <c r="D36" s="19" t="str">
        <f>VLOOKUP(C36,Employees!A:J,2,0)</f>
        <v>هشام عادل</v>
      </c>
      <c r="E36" s="20">
        <v>0.39583333333333331</v>
      </c>
      <c r="F36" s="20">
        <v>0.75</v>
      </c>
      <c r="G36" s="21" t="s">
        <v>69</v>
      </c>
      <c r="H36" s="20">
        <f t="shared" si="26"/>
        <v>0.39583333333333331</v>
      </c>
      <c r="I36" s="20">
        <f t="shared" si="27"/>
        <v>0.75</v>
      </c>
      <c r="J36" s="22">
        <f t="shared" si="23"/>
        <v>0</v>
      </c>
      <c r="K36" s="47">
        <f>(J36/60)*VLOOKUP(C36,Employees!A:J,10,0)*1.5</f>
        <v>0</v>
      </c>
      <c r="L36" s="22">
        <f t="shared" si="24"/>
        <v>0</v>
      </c>
      <c r="M36" s="23">
        <f>(L36/60)*VLOOKUP(C36,Employees!A:J,10,0)*2</f>
        <v>0</v>
      </c>
      <c r="N36" s="24">
        <f t="shared" si="25"/>
        <v>0</v>
      </c>
      <c r="O36" s="25">
        <f>(N36/60)*VLOOKUP(C36,Employees!A:J,10,0)*1.5</f>
        <v>0</v>
      </c>
      <c r="P36" s="23">
        <f>IF(G36="غياب",VLOOKUP(C36,Employees!$A$3:$J$36,9,FALSE()),0)</f>
        <v>0</v>
      </c>
    </row>
    <row r="37" spans="1:16" ht="15" customHeight="1">
      <c r="A37" s="17" t="s">
        <v>74</v>
      </c>
      <c r="B37" s="19" t="s">
        <v>75</v>
      </c>
      <c r="C37" s="19" t="s">
        <v>13</v>
      </c>
      <c r="D37" s="19" t="str">
        <f>VLOOKUP(C37,Employees!A:J,2,0)</f>
        <v>هشام عادل</v>
      </c>
      <c r="E37" s="20">
        <v>0.38958333333333334</v>
      </c>
      <c r="F37" s="20">
        <v>0.75</v>
      </c>
      <c r="G37" s="21" t="s">
        <v>69</v>
      </c>
      <c r="H37" s="20">
        <f t="shared" si="26"/>
        <v>0.38958333333333334</v>
      </c>
      <c r="I37" s="20">
        <f t="shared" si="27"/>
        <v>0.75</v>
      </c>
      <c r="J37" s="22">
        <f t="shared" si="23"/>
        <v>0</v>
      </c>
      <c r="K37" s="47">
        <f>(J37/60)*VLOOKUP(C37,Employees!A:J,10,0)*1.5</f>
        <v>0</v>
      </c>
      <c r="L37" s="22">
        <f t="shared" si="24"/>
        <v>0</v>
      </c>
      <c r="M37" s="23">
        <f>(L37/60)*VLOOKUP(C37,Employees!A:J,10,0)*2</f>
        <v>0</v>
      </c>
      <c r="N37" s="24">
        <f t="shared" si="25"/>
        <v>0</v>
      </c>
      <c r="O37" s="25">
        <f>(N37/60)*VLOOKUP(C37,Employees!A:J,10,0)*1.5</f>
        <v>0</v>
      </c>
      <c r="P37" s="23">
        <f>IF(G37="غياب",VLOOKUP(C37,Employees!$A$3:$J$36,9,FALSE()),0)</f>
        <v>0</v>
      </c>
    </row>
    <row r="38" spans="1:16" ht="15" customHeight="1">
      <c r="A38" s="26" t="s">
        <v>76</v>
      </c>
      <c r="B38" s="28" t="s">
        <v>77</v>
      </c>
      <c r="C38" s="28" t="s">
        <v>13</v>
      </c>
      <c r="D38" s="28" t="str">
        <f>VLOOKUP(C38,Employees!A:J,2,0)</f>
        <v>هشام عادل</v>
      </c>
      <c r="E38" s="29" t="s">
        <v>78</v>
      </c>
      <c r="F38" s="29" t="s">
        <v>78</v>
      </c>
      <c r="G38" s="27" t="s">
        <v>79</v>
      </c>
      <c r="H38" s="29" t="s">
        <v>78</v>
      </c>
      <c r="I38" s="29" t="s">
        <v>78</v>
      </c>
      <c r="J38" s="22" t="s">
        <v>78</v>
      </c>
      <c r="K38" s="47" t="s">
        <v>78</v>
      </c>
      <c r="L38" s="22" t="s">
        <v>78</v>
      </c>
      <c r="M38" s="23" t="s">
        <v>78</v>
      </c>
      <c r="N38" s="24" t="s">
        <v>78</v>
      </c>
      <c r="O38" s="24" t="s">
        <v>78</v>
      </c>
      <c r="P38" s="23">
        <f>IF(G38="غياب",VLOOKUP(C38,Employees!$A$3:$J$36,9,FALSE()),0)</f>
        <v>0</v>
      </c>
    </row>
    <row r="39" spans="1:16" ht="15" customHeight="1">
      <c r="A39" s="17" t="s">
        <v>80</v>
      </c>
      <c r="B39" s="19" t="s">
        <v>81</v>
      </c>
      <c r="C39" s="19" t="s">
        <v>13</v>
      </c>
      <c r="D39" s="19" t="str">
        <f>VLOOKUP(C39,Employees!A:J,2,0)</f>
        <v>هشام عادل</v>
      </c>
      <c r="E39" s="20">
        <v>0.40347222222222223</v>
      </c>
      <c r="F39" s="20">
        <v>0.75</v>
      </c>
      <c r="G39" s="21" t="s">
        <v>69</v>
      </c>
      <c r="H39" s="20">
        <f t="shared" ref="H39:H44" si="28">E39</f>
        <v>0.40347222222222223</v>
      </c>
      <c r="I39" s="20">
        <f t="shared" ref="I39:I44" si="29">F39</f>
        <v>0.75</v>
      </c>
      <c r="J39" s="22">
        <f t="shared" ref="J39:J44" si="30">IF(OR(H39="",G39="غياب",G39="إجازة أسبوعية"),0,
IF(H39&gt;=E39-TIME(0,20,0),0,
IF(H39&gt;=E39-TIME(0,30,0),30,(E39-H39)*1440)))</f>
        <v>0</v>
      </c>
      <c r="K39" s="47">
        <f>(J39/60)*VLOOKUP(C39,Employees!A:J,10,0)*1.5</f>
        <v>0</v>
      </c>
      <c r="L39" s="22">
        <f t="shared" ref="L39:L44" si="31">IF(OR(H39="",G39="غياب",G39="إجازة أسبوعية"),0,
IF(H39&lt;=E39+TIME(0,30,0),0,
30+((H39-(E39+TIME(0,30,0)))*1440)))</f>
        <v>0</v>
      </c>
      <c r="M39" s="23">
        <f>(L39/60)*VLOOKUP(C39,Employees!A:J,10,0)*2</f>
        <v>0</v>
      </c>
      <c r="N39" s="24">
        <f t="shared" ref="N39:N44" si="32">IF(OR(I39="",G39="غياب",G39="إجازة أسبوعية",I39&lt;=F39),0,
IF(MOD(I39-F39,1)&lt;=TIME(0,25,0),0,MAX(0,(I39-F39)*1440)))</f>
        <v>0</v>
      </c>
      <c r="O39" s="25">
        <f>(N39/60)*VLOOKUP(C39,Employees!A:J,10,0)*1.5</f>
        <v>0</v>
      </c>
      <c r="P39" s="23">
        <f>IF(G39="غياب",VLOOKUP(C39,Employees!$A$3:$J$36,9,FALSE()),0)</f>
        <v>0</v>
      </c>
    </row>
    <row r="40" spans="1:16" ht="15" customHeight="1">
      <c r="A40" s="17" t="s">
        <v>82</v>
      </c>
      <c r="B40" s="19" t="s">
        <v>83</v>
      </c>
      <c r="C40" s="19" t="s">
        <v>13</v>
      </c>
      <c r="D40" s="19" t="str">
        <f>VLOOKUP(C40,Employees!A:J,2,0)</f>
        <v>هشام عادل</v>
      </c>
      <c r="E40" s="20">
        <v>0.39652777777777776</v>
      </c>
      <c r="F40" s="20">
        <v>0.75</v>
      </c>
      <c r="G40" s="21" t="s">
        <v>69</v>
      </c>
      <c r="H40" s="20">
        <f t="shared" si="28"/>
        <v>0.39652777777777776</v>
      </c>
      <c r="I40" s="20">
        <f t="shared" si="29"/>
        <v>0.75</v>
      </c>
      <c r="J40" s="22">
        <f t="shared" si="30"/>
        <v>0</v>
      </c>
      <c r="K40" s="47">
        <f>(J40/60)*VLOOKUP(C40,Employees!A:J,10,0)*1.5</f>
        <v>0</v>
      </c>
      <c r="L40" s="22">
        <f t="shared" si="31"/>
        <v>0</v>
      </c>
      <c r="M40" s="23">
        <f>(L40/60)*VLOOKUP(C40,Employees!A:J,10,0)*2</f>
        <v>0</v>
      </c>
      <c r="N40" s="24">
        <f t="shared" si="32"/>
        <v>0</v>
      </c>
      <c r="O40" s="25">
        <f>(N40/60)*VLOOKUP(C40,Employees!A:J,10,0)*1.5</f>
        <v>0</v>
      </c>
      <c r="P40" s="23">
        <f>IF(G40="غياب",VLOOKUP(C40,Employees!$A$3:$J$36,9,FALSE()),0)</f>
        <v>0</v>
      </c>
    </row>
    <row r="41" spans="1:16" ht="15" customHeight="1">
      <c r="A41" s="17" t="s">
        <v>84</v>
      </c>
      <c r="B41" s="19" t="s">
        <v>68</v>
      </c>
      <c r="C41" s="19" t="s">
        <v>13</v>
      </c>
      <c r="D41" s="19" t="str">
        <f>VLOOKUP(C41,Employees!A:J,2,0)</f>
        <v>هشام عادل</v>
      </c>
      <c r="E41" s="20">
        <v>0.3923611111111111</v>
      </c>
      <c r="F41" s="20">
        <v>0.75</v>
      </c>
      <c r="G41" s="21" t="s">
        <v>69</v>
      </c>
      <c r="H41" s="20">
        <f t="shared" si="28"/>
        <v>0.3923611111111111</v>
      </c>
      <c r="I41" s="20">
        <f t="shared" si="29"/>
        <v>0.75</v>
      </c>
      <c r="J41" s="22">
        <f t="shared" si="30"/>
        <v>0</v>
      </c>
      <c r="K41" s="47">
        <f>(J41/60)*VLOOKUP(C41,Employees!A:J,10,0)*1.5</f>
        <v>0</v>
      </c>
      <c r="L41" s="22">
        <f t="shared" si="31"/>
        <v>0</v>
      </c>
      <c r="M41" s="23">
        <f>(L41/60)*VLOOKUP(C41,Employees!A:J,10,0)*2</f>
        <v>0</v>
      </c>
      <c r="N41" s="24">
        <f t="shared" si="32"/>
        <v>0</v>
      </c>
      <c r="O41" s="25">
        <f>(N41/60)*VLOOKUP(C41,Employees!A:J,10,0)*1.5</f>
        <v>0</v>
      </c>
      <c r="P41" s="23">
        <f>IF(G41="غياب",VLOOKUP(C41,Employees!$A$3:$J$36,9,FALSE()),0)</f>
        <v>0</v>
      </c>
    </row>
    <row r="42" spans="1:16" ht="15" customHeight="1">
      <c r="A42" s="17" t="s">
        <v>85</v>
      </c>
      <c r="B42" s="19" t="s">
        <v>71</v>
      </c>
      <c r="C42" s="19" t="s">
        <v>13</v>
      </c>
      <c r="D42" s="19" t="str">
        <f>VLOOKUP(C42,Employees!A:J,2,0)</f>
        <v>هشام عادل</v>
      </c>
      <c r="E42" s="20">
        <v>0.38819444444444445</v>
      </c>
      <c r="F42" s="20">
        <v>0.75</v>
      </c>
      <c r="G42" s="21" t="s">
        <v>69</v>
      </c>
      <c r="H42" s="20">
        <f t="shared" si="28"/>
        <v>0.38819444444444445</v>
      </c>
      <c r="I42" s="20">
        <f t="shared" si="29"/>
        <v>0.75</v>
      </c>
      <c r="J42" s="22">
        <f t="shared" si="30"/>
        <v>0</v>
      </c>
      <c r="K42" s="47">
        <f>(J42/60)*VLOOKUP(C42,Employees!A:J,10,0)*1.5</f>
        <v>0</v>
      </c>
      <c r="L42" s="22">
        <f t="shared" si="31"/>
        <v>0</v>
      </c>
      <c r="M42" s="23">
        <f>(L42/60)*VLOOKUP(C42,Employees!A:J,10,0)*2</f>
        <v>0</v>
      </c>
      <c r="N42" s="24">
        <f t="shared" si="32"/>
        <v>0</v>
      </c>
      <c r="O42" s="25">
        <f>(N42/60)*VLOOKUP(C42,Employees!A:J,10,0)*1.5</f>
        <v>0</v>
      </c>
      <c r="P42" s="23">
        <f>IF(G42="غياب",VLOOKUP(C42,Employees!$A$3:$J$36,9,FALSE()),0)</f>
        <v>0</v>
      </c>
    </row>
    <row r="43" spans="1:16" ht="15" customHeight="1">
      <c r="A43" s="17" t="s">
        <v>86</v>
      </c>
      <c r="B43" s="19" t="s">
        <v>73</v>
      </c>
      <c r="C43" s="19" t="s">
        <v>13</v>
      </c>
      <c r="D43" s="19" t="str">
        <f>VLOOKUP(C43,Employees!A:J,2,0)</f>
        <v>هشام عادل</v>
      </c>
      <c r="E43" s="20">
        <v>0.40625</v>
      </c>
      <c r="F43" s="20">
        <v>0.75</v>
      </c>
      <c r="G43" s="21" t="s">
        <v>69</v>
      </c>
      <c r="H43" s="20">
        <f t="shared" si="28"/>
        <v>0.40625</v>
      </c>
      <c r="I43" s="20">
        <f t="shared" si="29"/>
        <v>0.75</v>
      </c>
      <c r="J43" s="22">
        <f t="shared" si="30"/>
        <v>0</v>
      </c>
      <c r="K43" s="47">
        <f>(J43/60)*VLOOKUP(C43,Employees!A:J,10,0)*1.5</f>
        <v>0</v>
      </c>
      <c r="L43" s="22">
        <f t="shared" si="31"/>
        <v>0</v>
      </c>
      <c r="M43" s="23">
        <f>(L43/60)*VLOOKUP(C43,Employees!A:J,10,0)*2</f>
        <v>0</v>
      </c>
      <c r="N43" s="24">
        <f t="shared" si="32"/>
        <v>0</v>
      </c>
      <c r="O43" s="25">
        <f>(N43/60)*VLOOKUP(C43,Employees!A:J,10,0)*1.5</f>
        <v>0</v>
      </c>
      <c r="P43" s="23">
        <f>IF(G43="غياب",VLOOKUP(C43,Employees!$A$3:$J$36,9,FALSE()),0)</f>
        <v>0</v>
      </c>
    </row>
    <row r="44" spans="1:16" ht="15" customHeight="1">
      <c r="A44" s="17" t="s">
        <v>87</v>
      </c>
      <c r="B44" s="19" t="s">
        <v>75</v>
      </c>
      <c r="C44" s="19" t="s">
        <v>13</v>
      </c>
      <c r="D44" s="19" t="str">
        <f>VLOOKUP(C44,Employees!A:J,2,0)</f>
        <v>هشام عادل</v>
      </c>
      <c r="E44" s="20">
        <v>0.41666666666666669</v>
      </c>
      <c r="F44" s="30">
        <v>0.79166666666666696</v>
      </c>
      <c r="G44" s="21" t="s">
        <v>69</v>
      </c>
      <c r="H44" s="20">
        <f t="shared" si="28"/>
        <v>0.41666666666666669</v>
      </c>
      <c r="I44" s="20">
        <f t="shared" si="29"/>
        <v>0.79166666666666696</v>
      </c>
      <c r="J44" s="22">
        <f t="shared" si="30"/>
        <v>0</v>
      </c>
      <c r="K44" s="47">
        <f>(J44/60)*VLOOKUP(C44,Employees!A:J,10,0)*1.5</f>
        <v>0</v>
      </c>
      <c r="L44" s="22">
        <f t="shared" si="31"/>
        <v>0</v>
      </c>
      <c r="M44" s="23">
        <f>(L44/60)*VLOOKUP(C44,Employees!A:J,10,0)*2</f>
        <v>0</v>
      </c>
      <c r="N44" s="24">
        <f t="shared" si="32"/>
        <v>0</v>
      </c>
      <c r="O44" s="25">
        <f>(N44/60)*VLOOKUP(C44,Employees!A:J,10,0)*1.5</f>
        <v>0</v>
      </c>
      <c r="P44" s="23">
        <f>IF(G44="غياب",VLOOKUP(C44,Employees!$A$3:$J$36,9,FALSE()),0)</f>
        <v>0</v>
      </c>
    </row>
    <row r="45" spans="1:16" ht="15" customHeight="1">
      <c r="A45" s="26" t="s">
        <v>88</v>
      </c>
      <c r="B45" s="28" t="s">
        <v>77</v>
      </c>
      <c r="C45" s="28" t="s">
        <v>13</v>
      </c>
      <c r="D45" s="28" t="str">
        <f>VLOOKUP(C45,Employees!A:J,2,0)</f>
        <v>هشام عادل</v>
      </c>
      <c r="E45" s="29" t="s">
        <v>78</v>
      </c>
      <c r="F45" s="29" t="s">
        <v>78</v>
      </c>
      <c r="G45" s="27" t="s">
        <v>79</v>
      </c>
      <c r="H45" s="29" t="s">
        <v>78</v>
      </c>
      <c r="I45" s="29" t="s">
        <v>78</v>
      </c>
      <c r="J45" s="22" t="s">
        <v>78</v>
      </c>
      <c r="K45" s="47" t="s">
        <v>78</v>
      </c>
      <c r="L45" s="22" t="s">
        <v>78</v>
      </c>
      <c r="M45" s="23" t="s">
        <v>78</v>
      </c>
      <c r="N45" s="24" t="s">
        <v>78</v>
      </c>
      <c r="O45" s="24" t="s">
        <v>78</v>
      </c>
      <c r="P45" s="23">
        <f>IF(G45="غياب",VLOOKUP(C45,Employees!$A$3:$J$36,9,FALSE()),0)</f>
        <v>0</v>
      </c>
    </row>
    <row r="46" spans="1:16" ht="15" customHeight="1">
      <c r="A46" s="26" t="s">
        <v>89</v>
      </c>
      <c r="B46" s="28" t="s">
        <v>81</v>
      </c>
      <c r="C46" s="28" t="s">
        <v>13</v>
      </c>
      <c r="D46" s="28" t="str">
        <f>VLOOKUP(C46,Employees!A:J,2,0)</f>
        <v>هشام عادل</v>
      </c>
      <c r="E46" s="29" t="s">
        <v>78</v>
      </c>
      <c r="F46" s="29" t="s">
        <v>78</v>
      </c>
      <c r="G46" s="27" t="s">
        <v>79</v>
      </c>
      <c r="H46" s="29" t="s">
        <v>78</v>
      </c>
      <c r="I46" s="29" t="s">
        <v>78</v>
      </c>
      <c r="J46" s="22" t="s">
        <v>78</v>
      </c>
      <c r="K46" s="47" t="s">
        <v>78</v>
      </c>
      <c r="L46" s="22" t="s">
        <v>78</v>
      </c>
      <c r="M46" s="23" t="s">
        <v>78</v>
      </c>
      <c r="N46" s="24" t="s">
        <v>78</v>
      </c>
      <c r="O46" s="24" t="s">
        <v>78</v>
      </c>
      <c r="P46" s="23">
        <f>IF(G46="غياب",VLOOKUP(C46,Employees!$A$3:$J$36,9,FALSE()),0)</f>
        <v>0</v>
      </c>
    </row>
    <row r="47" spans="1:16" ht="15" customHeight="1">
      <c r="A47" s="17" t="s">
        <v>90</v>
      </c>
      <c r="B47" s="19" t="s">
        <v>83</v>
      </c>
      <c r="C47" s="19" t="s">
        <v>13</v>
      </c>
      <c r="D47" s="19" t="str">
        <f>VLOOKUP(C47,Employees!A:J,2,0)</f>
        <v>هشام عادل</v>
      </c>
      <c r="E47" s="20">
        <v>0.41666666666666669</v>
      </c>
      <c r="F47" s="30">
        <v>0.79166666666666696</v>
      </c>
      <c r="G47" s="21" t="s">
        <v>69</v>
      </c>
      <c r="H47" s="20">
        <f t="shared" ref="H47:H51" si="33">E47</f>
        <v>0.41666666666666669</v>
      </c>
      <c r="I47" s="20">
        <f t="shared" ref="I47:I51" si="34">F47</f>
        <v>0.79166666666666696</v>
      </c>
      <c r="J47" s="22">
        <f t="shared" ref="J47:J51" si="35">IF(OR(H47="",G47="غياب",G47="إجازة أسبوعية"),0,
IF(H47&gt;=E47-TIME(0,20,0),0,
IF(H47&gt;=E47-TIME(0,30,0),30,(E47-H47)*1440)))</f>
        <v>0</v>
      </c>
      <c r="K47" s="47">
        <f>(J47/60)*VLOOKUP(C47,Employees!A:J,10,0)*1.5</f>
        <v>0</v>
      </c>
      <c r="L47" s="22">
        <f t="shared" ref="L47:L51" si="36">IF(OR(H47="",G47="غياب",G47="إجازة أسبوعية"),0,
IF(H47&lt;=E47+TIME(0,30,0),0,
30+((H47-(E47+TIME(0,30,0)))*1440)))</f>
        <v>0</v>
      </c>
      <c r="M47" s="23">
        <f>(L47/60)*VLOOKUP(C47,Employees!A:J,10,0)*2</f>
        <v>0</v>
      </c>
      <c r="N47" s="24">
        <f t="shared" ref="N47:N51" si="37">IF(OR(I47="",G47="غياب",G47="إجازة أسبوعية",I47&lt;=F47),0,
IF(MOD(I47-F47,1)&lt;=TIME(0,25,0),0,MAX(0,(I47-F47)*1440)))</f>
        <v>0</v>
      </c>
      <c r="O47" s="25">
        <f>(N47/60)*VLOOKUP(C47,Employees!A:J,10,0)*1.5</f>
        <v>0</v>
      </c>
      <c r="P47" s="23">
        <f>IF(G47="غياب",VLOOKUP(C47,Employees!$A$3:$J$36,9,FALSE()),0)</f>
        <v>0</v>
      </c>
    </row>
    <row r="48" spans="1:16" ht="15" customHeight="1">
      <c r="A48" s="17" t="s">
        <v>91</v>
      </c>
      <c r="B48" s="19" t="s">
        <v>68</v>
      </c>
      <c r="C48" s="19" t="s">
        <v>13</v>
      </c>
      <c r="D48" s="19" t="str">
        <f>VLOOKUP(C48,Employees!A:J,2,0)</f>
        <v>هشام عادل</v>
      </c>
      <c r="E48" s="20">
        <v>0.41666666666666702</v>
      </c>
      <c r="F48" s="30">
        <v>0.79166666666666696</v>
      </c>
      <c r="G48" s="21" t="s">
        <v>69</v>
      </c>
      <c r="H48" s="20">
        <f t="shared" si="33"/>
        <v>0.41666666666666702</v>
      </c>
      <c r="I48" s="20">
        <f t="shared" si="34"/>
        <v>0.79166666666666696</v>
      </c>
      <c r="J48" s="22">
        <f t="shared" si="35"/>
        <v>0</v>
      </c>
      <c r="K48" s="47">
        <f>(J48/60)*VLOOKUP(C48,Employees!A:J,10,0)*1.5</f>
        <v>0</v>
      </c>
      <c r="L48" s="22">
        <f t="shared" si="36"/>
        <v>0</v>
      </c>
      <c r="M48" s="23">
        <f>(L48/60)*VLOOKUP(C48,Employees!A:J,10,0)*2</f>
        <v>0</v>
      </c>
      <c r="N48" s="24">
        <f t="shared" si="37"/>
        <v>0</v>
      </c>
      <c r="O48" s="25">
        <f>(N48/60)*VLOOKUP(C48,Employees!A:J,10,0)*1.5</f>
        <v>0</v>
      </c>
      <c r="P48" s="23">
        <f>IF(G48="غياب",VLOOKUP(C48,Employees!$A$3:$J$36,9,FALSE()),0)</f>
        <v>0</v>
      </c>
    </row>
    <row r="49" spans="1:16" ht="15" customHeight="1">
      <c r="A49" s="17" t="s">
        <v>92</v>
      </c>
      <c r="B49" s="19" t="s">
        <v>71</v>
      </c>
      <c r="C49" s="19" t="s">
        <v>13</v>
      </c>
      <c r="D49" s="19" t="str">
        <f>VLOOKUP(C49,Employees!A:J,2,0)</f>
        <v>هشام عادل</v>
      </c>
      <c r="E49" s="20">
        <v>0.41666666666666702</v>
      </c>
      <c r="F49" s="30">
        <v>0.79166666666666696</v>
      </c>
      <c r="G49" s="21" t="s">
        <v>69</v>
      </c>
      <c r="H49" s="20">
        <f t="shared" si="33"/>
        <v>0.41666666666666702</v>
      </c>
      <c r="I49" s="20">
        <f t="shared" si="34"/>
        <v>0.79166666666666696</v>
      </c>
      <c r="J49" s="22">
        <f t="shared" si="35"/>
        <v>0</v>
      </c>
      <c r="K49" s="47">
        <f>(J49/60)*VLOOKUP(C49,Employees!A:J,10,0)*1.5</f>
        <v>0</v>
      </c>
      <c r="L49" s="22">
        <f t="shared" si="36"/>
        <v>0</v>
      </c>
      <c r="M49" s="23">
        <f>(L49/60)*VLOOKUP(C49,Employees!A:J,10,0)*2</f>
        <v>0</v>
      </c>
      <c r="N49" s="24">
        <f t="shared" si="37"/>
        <v>0</v>
      </c>
      <c r="O49" s="25">
        <f>(N49/60)*VLOOKUP(C49,Employees!A:J,10,0)*1.5</f>
        <v>0</v>
      </c>
      <c r="P49" s="23">
        <f>IF(G49="غياب",VLOOKUP(C49,Employees!$A$3:$J$36,9,FALSE()),0)</f>
        <v>0</v>
      </c>
    </row>
    <row r="50" spans="1:16" ht="15" customHeight="1">
      <c r="A50" s="17" t="s">
        <v>93</v>
      </c>
      <c r="B50" s="19" t="s">
        <v>73</v>
      </c>
      <c r="C50" s="19" t="s">
        <v>13</v>
      </c>
      <c r="D50" s="19" t="str">
        <f>VLOOKUP(C50,Employees!A:J,2,0)</f>
        <v>هشام عادل</v>
      </c>
      <c r="E50" s="20">
        <v>0.42916666666666664</v>
      </c>
      <c r="F50" s="30">
        <v>0.79166666666666696</v>
      </c>
      <c r="G50" s="21" t="s">
        <v>69</v>
      </c>
      <c r="H50" s="20">
        <f t="shared" si="33"/>
        <v>0.42916666666666664</v>
      </c>
      <c r="I50" s="20">
        <f t="shared" si="34"/>
        <v>0.79166666666666696</v>
      </c>
      <c r="J50" s="22">
        <f t="shared" si="35"/>
        <v>0</v>
      </c>
      <c r="K50" s="47">
        <f>(J50/60)*VLOOKUP(C50,Employees!A:J,10,0)*1.5</f>
        <v>0</v>
      </c>
      <c r="L50" s="22">
        <f t="shared" si="36"/>
        <v>0</v>
      </c>
      <c r="M50" s="23">
        <f>(L50/60)*VLOOKUP(C50,Employees!A:J,10,0)*2</f>
        <v>0</v>
      </c>
      <c r="N50" s="24">
        <f t="shared" si="37"/>
        <v>0</v>
      </c>
      <c r="O50" s="25">
        <f>(N50/60)*VLOOKUP(C50,Employees!A:J,10,0)*1.5</f>
        <v>0</v>
      </c>
      <c r="P50" s="23">
        <f>IF(G50="غياب",VLOOKUP(C50,Employees!$A$3:$J$36,9,FALSE()),0)</f>
        <v>0</v>
      </c>
    </row>
    <row r="51" spans="1:16" ht="15" customHeight="1">
      <c r="A51" s="17" t="s">
        <v>94</v>
      </c>
      <c r="B51" s="19" t="s">
        <v>75</v>
      </c>
      <c r="C51" s="19" t="s">
        <v>13</v>
      </c>
      <c r="D51" s="19" t="str">
        <f>VLOOKUP(C51,Employees!A:J,2,0)</f>
        <v>هشام عادل</v>
      </c>
      <c r="E51" s="20">
        <v>0.41805555555555557</v>
      </c>
      <c r="F51" s="30">
        <v>0.79166666666666696</v>
      </c>
      <c r="G51" s="21" t="s">
        <v>69</v>
      </c>
      <c r="H51" s="20">
        <f t="shared" si="33"/>
        <v>0.41805555555555557</v>
      </c>
      <c r="I51" s="20">
        <f t="shared" si="34"/>
        <v>0.79166666666666696</v>
      </c>
      <c r="J51" s="22">
        <f t="shared" si="35"/>
        <v>0</v>
      </c>
      <c r="K51" s="47">
        <f>(J51/60)*VLOOKUP(C51,Employees!A:J,10,0)*1.5</f>
        <v>0</v>
      </c>
      <c r="L51" s="22">
        <f t="shared" si="36"/>
        <v>0</v>
      </c>
      <c r="M51" s="23">
        <f>(L51/60)*VLOOKUP(C51,Employees!A:J,10,0)*2</f>
        <v>0</v>
      </c>
      <c r="N51" s="24">
        <f t="shared" si="37"/>
        <v>0</v>
      </c>
      <c r="O51" s="25">
        <f>(N51/60)*VLOOKUP(C51,Employees!A:J,10,0)*1.5</f>
        <v>0</v>
      </c>
      <c r="P51" s="23">
        <f>IF(G51="غياب",VLOOKUP(C51,Employees!$A$3:$J$36,9,FALSE()),0)</f>
        <v>0</v>
      </c>
    </row>
    <row r="52" spans="1:16" ht="15" customHeight="1">
      <c r="A52" s="26" t="s">
        <v>95</v>
      </c>
      <c r="B52" s="28" t="s">
        <v>77</v>
      </c>
      <c r="C52" s="28" t="s">
        <v>13</v>
      </c>
      <c r="D52" s="28" t="str">
        <f>VLOOKUP(C52,Employees!A:J,2,0)</f>
        <v>هشام عادل</v>
      </c>
      <c r="E52" s="29" t="s">
        <v>78</v>
      </c>
      <c r="F52" s="29" t="s">
        <v>78</v>
      </c>
      <c r="G52" s="27" t="s">
        <v>79</v>
      </c>
      <c r="H52" s="29" t="s">
        <v>78</v>
      </c>
      <c r="I52" s="29" t="s">
        <v>78</v>
      </c>
      <c r="J52" s="22" t="s">
        <v>78</v>
      </c>
      <c r="K52" s="47" t="s">
        <v>78</v>
      </c>
      <c r="L52" s="22" t="s">
        <v>78</v>
      </c>
      <c r="M52" s="23" t="s">
        <v>78</v>
      </c>
      <c r="N52" s="24" t="s">
        <v>78</v>
      </c>
      <c r="O52" s="24" t="s">
        <v>78</v>
      </c>
      <c r="P52" s="23">
        <f>IF(G52="غياب",VLOOKUP(C52,Employees!$A$3:$J$36,9,FALSE()),0)</f>
        <v>0</v>
      </c>
    </row>
    <row r="53" spans="1:16" ht="15" customHeight="1">
      <c r="A53" s="17" t="s">
        <v>96</v>
      </c>
      <c r="B53" s="19" t="s">
        <v>81</v>
      </c>
      <c r="C53" s="19" t="s">
        <v>13</v>
      </c>
      <c r="D53" s="19" t="str">
        <f>VLOOKUP(C53,Employees!A:J,2,0)</f>
        <v>هشام عادل</v>
      </c>
      <c r="E53" s="20">
        <v>0.42152777777777778</v>
      </c>
      <c r="F53" s="30">
        <v>0.79166666666666696</v>
      </c>
      <c r="G53" s="21" t="s">
        <v>69</v>
      </c>
      <c r="H53" s="20">
        <f t="shared" ref="H53:H58" si="38">E53</f>
        <v>0.42152777777777778</v>
      </c>
      <c r="I53" s="20">
        <f t="shared" ref="I53:I58" si="39">F53</f>
        <v>0.79166666666666696</v>
      </c>
      <c r="J53" s="22">
        <f t="shared" ref="J53:J58" si="40">IF(OR(H53="",G53="غياب",G53="إجازة أسبوعية"),0,
IF(H53&gt;=E53-TIME(0,20,0),0,
IF(H53&gt;=E53-TIME(0,30,0),30,(E53-H53)*1440)))</f>
        <v>0</v>
      </c>
      <c r="K53" s="47">
        <f>(J53/60)*VLOOKUP(C53,Employees!A:J,10,0)*1.5</f>
        <v>0</v>
      </c>
      <c r="L53" s="22">
        <f t="shared" ref="L53:L58" si="41">IF(OR(H53="",G53="غياب",G53="إجازة أسبوعية"),0,
IF(H53&lt;=E53+TIME(0,30,0),0,
30+((H53-(E53+TIME(0,30,0)))*1440)))</f>
        <v>0</v>
      </c>
      <c r="M53" s="23">
        <f>(L53/60)*VLOOKUP(C53,Employees!A:J,10,0)*2</f>
        <v>0</v>
      </c>
      <c r="N53" s="24">
        <f t="shared" ref="N53:N58" si="42">IF(OR(I53="",G53="غياب",G53="إجازة أسبوعية",I53&lt;=F53),0,
IF(MOD(I53-F53,1)&lt;=TIME(0,25,0),0,MAX(0,(I53-F53)*1440)))</f>
        <v>0</v>
      </c>
      <c r="O53" s="25">
        <f>(N53/60)*VLOOKUP(C53,Employees!A:J,10,0)*1.5</f>
        <v>0</v>
      </c>
      <c r="P53" s="23">
        <f>IF(G53="غياب",VLOOKUP(C53,Employees!$A$3:$J$36,9,FALSE()),0)</f>
        <v>0</v>
      </c>
    </row>
    <row r="54" spans="1:16" ht="15" customHeight="1">
      <c r="A54" s="17" t="s">
        <v>97</v>
      </c>
      <c r="B54" s="19" t="s">
        <v>83</v>
      </c>
      <c r="C54" s="19" t="s">
        <v>13</v>
      </c>
      <c r="D54" s="19" t="str">
        <f>VLOOKUP(C54,Employees!A:J,2,0)</f>
        <v>هشام عادل</v>
      </c>
      <c r="E54" s="20">
        <v>0.43055555555555558</v>
      </c>
      <c r="F54" s="30">
        <v>0.79166666666666696</v>
      </c>
      <c r="G54" s="21" t="s">
        <v>69</v>
      </c>
      <c r="H54" s="20">
        <f t="shared" si="38"/>
        <v>0.43055555555555558</v>
      </c>
      <c r="I54" s="20">
        <f t="shared" si="39"/>
        <v>0.79166666666666696</v>
      </c>
      <c r="J54" s="22">
        <f t="shared" si="40"/>
        <v>0</v>
      </c>
      <c r="K54" s="47">
        <f>(J54/60)*VLOOKUP(C54,Employees!A:J,10,0)*1.5</f>
        <v>0</v>
      </c>
      <c r="L54" s="22">
        <f t="shared" si="41"/>
        <v>0</v>
      </c>
      <c r="M54" s="23">
        <f>(L54/60)*VLOOKUP(C54,Employees!A:J,10,0)*2</f>
        <v>0</v>
      </c>
      <c r="N54" s="24">
        <f t="shared" si="42"/>
        <v>0</v>
      </c>
      <c r="O54" s="25">
        <f>(N54/60)*VLOOKUP(C54,Employees!A:J,10,0)*1.5</f>
        <v>0</v>
      </c>
      <c r="P54" s="23">
        <f>IF(G54="غياب",VLOOKUP(C54,Employees!$A$3:$J$36,9,FALSE()),0)</f>
        <v>0</v>
      </c>
    </row>
    <row r="55" spans="1:16" ht="15" customHeight="1">
      <c r="A55" s="17" t="s">
        <v>98</v>
      </c>
      <c r="B55" s="19" t="s">
        <v>68</v>
      </c>
      <c r="C55" s="19" t="s">
        <v>13</v>
      </c>
      <c r="D55" s="19" t="str">
        <f>VLOOKUP(C55,Employees!A:J,2,0)</f>
        <v>هشام عادل</v>
      </c>
      <c r="E55" s="20">
        <v>0.4236111111111111</v>
      </c>
      <c r="F55" s="30">
        <v>0.79166666666666696</v>
      </c>
      <c r="G55" s="21" t="s">
        <v>69</v>
      </c>
      <c r="H55" s="20">
        <f t="shared" si="38"/>
        <v>0.4236111111111111</v>
      </c>
      <c r="I55" s="20">
        <f t="shared" si="39"/>
        <v>0.79166666666666696</v>
      </c>
      <c r="J55" s="22">
        <f t="shared" si="40"/>
        <v>0</v>
      </c>
      <c r="K55" s="47">
        <f>(J55/60)*VLOOKUP(C55,Employees!A:J,10,0)*1.5</f>
        <v>0</v>
      </c>
      <c r="L55" s="22">
        <f t="shared" si="41"/>
        <v>0</v>
      </c>
      <c r="M55" s="23">
        <f>(L55/60)*VLOOKUP(C55,Employees!A:J,10,0)*2</f>
        <v>0</v>
      </c>
      <c r="N55" s="24">
        <f t="shared" si="42"/>
        <v>0</v>
      </c>
      <c r="O55" s="25">
        <f>(N55/60)*VLOOKUP(C55,Employees!A:J,10,0)*1.5</f>
        <v>0</v>
      </c>
      <c r="P55" s="23">
        <f>IF(G55="غياب",VLOOKUP(C55,Employees!$A$3:$J$36,9,FALSE()),0)</f>
        <v>0</v>
      </c>
    </row>
    <row r="56" spans="1:16" ht="15" customHeight="1">
      <c r="A56" s="17" t="s">
        <v>99</v>
      </c>
      <c r="B56" s="19" t="s">
        <v>71</v>
      </c>
      <c r="C56" s="19" t="s">
        <v>13</v>
      </c>
      <c r="D56" s="19" t="str">
        <f>VLOOKUP(C56,Employees!A:J,2,0)</f>
        <v>هشام عادل</v>
      </c>
      <c r="E56" s="20">
        <v>0.42430555555555555</v>
      </c>
      <c r="F56" s="30">
        <v>0.79166666666666696</v>
      </c>
      <c r="G56" s="21" t="s">
        <v>69</v>
      </c>
      <c r="H56" s="20">
        <f t="shared" si="38"/>
        <v>0.42430555555555555</v>
      </c>
      <c r="I56" s="20">
        <f t="shared" si="39"/>
        <v>0.79166666666666696</v>
      </c>
      <c r="J56" s="22">
        <f t="shared" si="40"/>
        <v>0</v>
      </c>
      <c r="K56" s="47">
        <f>(J56/60)*VLOOKUP(C56,Employees!A:J,10,0)*1.5</f>
        <v>0</v>
      </c>
      <c r="L56" s="22">
        <f t="shared" si="41"/>
        <v>0</v>
      </c>
      <c r="M56" s="23">
        <f>(L56/60)*VLOOKUP(C56,Employees!A:J,10,0)*2</f>
        <v>0</v>
      </c>
      <c r="N56" s="24">
        <f t="shared" si="42"/>
        <v>0</v>
      </c>
      <c r="O56" s="25">
        <f>(N56/60)*VLOOKUP(C56,Employees!A:J,10,0)*1.5</f>
        <v>0</v>
      </c>
      <c r="P56" s="23">
        <f>IF(G56="غياب",VLOOKUP(C56,Employees!$A$3:$J$36,9,FALSE()),0)</f>
        <v>0</v>
      </c>
    </row>
    <row r="57" spans="1:16" ht="15" customHeight="1">
      <c r="A57" s="17" t="s">
        <v>100</v>
      </c>
      <c r="B57" s="19" t="s">
        <v>73</v>
      </c>
      <c r="C57" s="19" t="s">
        <v>13</v>
      </c>
      <c r="D57" s="19" t="str">
        <f>VLOOKUP(C57,Employees!A:J,2,0)</f>
        <v>هشام عادل</v>
      </c>
      <c r="E57" s="20">
        <v>0.40069444444444446</v>
      </c>
      <c r="F57" s="30">
        <v>0.75</v>
      </c>
      <c r="G57" s="21" t="s">
        <v>69</v>
      </c>
      <c r="H57" s="20">
        <f t="shared" si="38"/>
        <v>0.40069444444444446</v>
      </c>
      <c r="I57" s="20">
        <f t="shared" si="39"/>
        <v>0.75</v>
      </c>
      <c r="J57" s="22">
        <f t="shared" si="40"/>
        <v>0</v>
      </c>
      <c r="K57" s="47">
        <f>(J57/60)*VLOOKUP(C57,Employees!A:J,10,0)*1.5</f>
        <v>0</v>
      </c>
      <c r="L57" s="22">
        <f t="shared" si="41"/>
        <v>0</v>
      </c>
      <c r="M57" s="23">
        <f>(L57/60)*VLOOKUP(C57,Employees!A:J,10,0)*2</f>
        <v>0</v>
      </c>
      <c r="N57" s="24">
        <f t="shared" si="42"/>
        <v>0</v>
      </c>
      <c r="O57" s="25">
        <f>(N57/60)*VLOOKUP(C57,Employees!A:J,10,0)*1.5</f>
        <v>0</v>
      </c>
      <c r="P57" s="23">
        <f>IF(G57="غياب",VLOOKUP(C57,Employees!$A$3:$J$36,9,FALSE()),0)</f>
        <v>0</v>
      </c>
    </row>
    <row r="58" spans="1:16" ht="15" customHeight="1">
      <c r="A58" s="17" t="s">
        <v>101</v>
      </c>
      <c r="B58" s="19" t="s">
        <v>75</v>
      </c>
      <c r="C58" s="19" t="s">
        <v>13</v>
      </c>
      <c r="D58" s="19" t="str">
        <f>VLOOKUP(C58,Employees!A:J,2,0)</f>
        <v>هشام عادل</v>
      </c>
      <c r="E58" s="20">
        <v>0.375</v>
      </c>
      <c r="F58" s="30">
        <v>0.75</v>
      </c>
      <c r="G58" s="21" t="s">
        <v>69</v>
      </c>
      <c r="H58" s="20">
        <f t="shared" si="38"/>
        <v>0.375</v>
      </c>
      <c r="I58" s="20">
        <f t="shared" si="39"/>
        <v>0.75</v>
      </c>
      <c r="J58" s="22">
        <f t="shared" si="40"/>
        <v>0</v>
      </c>
      <c r="K58" s="47">
        <f>(J58/60)*VLOOKUP(C58,Employees!A:J,10,0)*1.5</f>
        <v>0</v>
      </c>
      <c r="L58" s="22">
        <f t="shared" si="41"/>
        <v>0</v>
      </c>
      <c r="M58" s="23">
        <f>(L58/60)*VLOOKUP(C58,Employees!A:J,10,0)*2</f>
        <v>0</v>
      </c>
      <c r="N58" s="24">
        <f t="shared" si="42"/>
        <v>0</v>
      </c>
      <c r="O58" s="25">
        <f>(N58/60)*VLOOKUP(C58,Employees!A:J,10,0)*1.5</f>
        <v>0</v>
      </c>
      <c r="P58" s="23">
        <f>IF(G58="غياب",VLOOKUP(C58,Employees!$A$3:$J$36,9,FALSE()),0)</f>
        <v>0</v>
      </c>
    </row>
    <row r="59" spans="1:16" ht="15" customHeight="1">
      <c r="A59" s="26" t="s">
        <v>102</v>
      </c>
      <c r="B59" s="28" t="s">
        <v>77</v>
      </c>
      <c r="C59" s="28" t="s">
        <v>13</v>
      </c>
      <c r="D59" s="28" t="str">
        <f>VLOOKUP(C59,Employees!A:J,2,0)</f>
        <v>هشام عادل</v>
      </c>
      <c r="E59" s="29" t="s">
        <v>78</v>
      </c>
      <c r="F59" s="29" t="s">
        <v>78</v>
      </c>
      <c r="G59" s="27" t="s">
        <v>79</v>
      </c>
      <c r="H59" s="29" t="s">
        <v>78</v>
      </c>
      <c r="I59" s="29" t="s">
        <v>78</v>
      </c>
      <c r="J59" s="22" t="s">
        <v>78</v>
      </c>
      <c r="K59" s="47" t="s">
        <v>78</v>
      </c>
      <c r="L59" s="22" t="s">
        <v>78</v>
      </c>
      <c r="M59" s="23" t="s">
        <v>78</v>
      </c>
      <c r="N59" s="24" t="s">
        <v>78</v>
      </c>
      <c r="O59" s="24" t="s">
        <v>78</v>
      </c>
      <c r="P59" s="23">
        <f>IF(G59="غياب",VLOOKUP(C59,Employees!$A$3:$J$36,9,FALSE()),0)</f>
        <v>0</v>
      </c>
    </row>
    <row r="60" spans="1:16" ht="15" customHeight="1">
      <c r="A60" s="17" t="s">
        <v>103</v>
      </c>
      <c r="B60" s="19" t="s">
        <v>81</v>
      </c>
      <c r="C60" s="19" t="s">
        <v>13</v>
      </c>
      <c r="D60" s="19" t="str">
        <f>VLOOKUP(C60,Employees!A:J,2,0)</f>
        <v>هشام عادل</v>
      </c>
      <c r="E60" s="20">
        <v>0.40694444444444444</v>
      </c>
      <c r="F60" s="30">
        <v>0.75</v>
      </c>
      <c r="G60" s="21" t="s">
        <v>69</v>
      </c>
      <c r="H60" s="20">
        <f t="shared" ref="H60:H63" si="43">E60</f>
        <v>0.40694444444444444</v>
      </c>
      <c r="I60" s="20">
        <f t="shared" ref="I60:I63" si="44">F60</f>
        <v>0.75</v>
      </c>
      <c r="J60" s="22">
        <f t="shared" ref="J60:J64" si="45">IF(OR(H60="",G60="غياب",G60="إجازة أسبوعية"),0,
IF(H60&gt;=E60-TIME(0,20,0),0,
IF(H60&gt;=E60-TIME(0,30,0),30,(E60-H60)*1440)))</f>
        <v>0</v>
      </c>
      <c r="K60" s="47">
        <f>(J60/60)*VLOOKUP(C60,Employees!A:J,10,0)*1.5</f>
        <v>0</v>
      </c>
      <c r="L60" s="22">
        <f t="shared" ref="L60:L64" si="46">IF(OR(H60="",G60="غياب",G60="إجازة أسبوعية"),0,
IF(H60&lt;=E60+TIME(0,30,0),0,
30+((H60-(E60+TIME(0,30,0)))*1440)))</f>
        <v>0</v>
      </c>
      <c r="M60" s="23">
        <f>(L60/60)*VLOOKUP(C60,Employees!A:J,10,0)*2</f>
        <v>0</v>
      </c>
      <c r="N60" s="24">
        <f t="shared" ref="N60:N64" si="47">IF(OR(I60="",G60="غياب",G60="إجازة أسبوعية",I60&lt;=F60),0,
IF(MOD(I60-F60,1)&lt;=TIME(0,25,0),0,MAX(0,(I60-F60)*1440)))</f>
        <v>0</v>
      </c>
      <c r="O60" s="25">
        <f>(N60/60)*VLOOKUP(C60,Employees!A:J,10,0)*1.5</f>
        <v>0</v>
      </c>
      <c r="P60" s="23">
        <f>IF(G60="غياب",VLOOKUP(C60,Employees!$A$3:$J$36,9,FALSE()),0)</f>
        <v>0</v>
      </c>
    </row>
    <row r="61" spans="1:16" ht="15" customHeight="1">
      <c r="A61" s="17" t="s">
        <v>104</v>
      </c>
      <c r="B61" s="19" t="s">
        <v>83</v>
      </c>
      <c r="C61" s="19" t="s">
        <v>13</v>
      </c>
      <c r="D61" s="19" t="str">
        <f>VLOOKUP(C61,Employees!A:J,2,0)</f>
        <v>هشام عادل</v>
      </c>
      <c r="E61" s="20">
        <v>0.38541666666666669</v>
      </c>
      <c r="F61" s="30">
        <v>0.75</v>
      </c>
      <c r="G61" s="21" t="s">
        <v>69</v>
      </c>
      <c r="H61" s="20">
        <f t="shared" si="43"/>
        <v>0.38541666666666669</v>
      </c>
      <c r="I61" s="20">
        <f t="shared" si="44"/>
        <v>0.75</v>
      </c>
      <c r="J61" s="22">
        <f t="shared" si="45"/>
        <v>0</v>
      </c>
      <c r="K61" s="47">
        <f>(J61/60)*VLOOKUP(C61,Employees!A:J,10,0)*1.5</f>
        <v>0</v>
      </c>
      <c r="L61" s="22">
        <f t="shared" si="46"/>
        <v>0</v>
      </c>
      <c r="M61" s="23">
        <f>(L61/60)*VLOOKUP(C61,Employees!A:J,10,0)*2</f>
        <v>0</v>
      </c>
      <c r="N61" s="24">
        <f t="shared" si="47"/>
        <v>0</v>
      </c>
      <c r="O61" s="25">
        <f>(N61/60)*VLOOKUP(C61,Employees!A:J,10,0)*1.5</f>
        <v>0</v>
      </c>
      <c r="P61" s="23">
        <f>IF(G61="غياب",VLOOKUP(C61,Employees!$A$3:$J$36,9,FALSE()),0)</f>
        <v>0</v>
      </c>
    </row>
    <row r="62" spans="1:16" ht="15" customHeight="1">
      <c r="A62" s="17" t="s">
        <v>105</v>
      </c>
      <c r="B62" s="19" t="s">
        <v>68</v>
      </c>
      <c r="C62" s="19" t="s">
        <v>13</v>
      </c>
      <c r="D62" s="19" t="str">
        <f>VLOOKUP(C62,Employees!A:J,2,0)</f>
        <v>هشام عادل</v>
      </c>
      <c r="E62" s="20">
        <v>0.3840277777777778</v>
      </c>
      <c r="F62" s="30">
        <v>0.75</v>
      </c>
      <c r="G62" s="21" t="s">
        <v>69</v>
      </c>
      <c r="H62" s="20">
        <f t="shared" si="43"/>
        <v>0.3840277777777778</v>
      </c>
      <c r="I62" s="20">
        <f t="shared" si="44"/>
        <v>0.75</v>
      </c>
      <c r="J62" s="22">
        <f t="shared" si="45"/>
        <v>0</v>
      </c>
      <c r="K62" s="47">
        <f>(J62/60)*VLOOKUP(C62,Employees!A:J,10,0)*1.5</f>
        <v>0</v>
      </c>
      <c r="L62" s="22">
        <f t="shared" si="46"/>
        <v>0</v>
      </c>
      <c r="M62" s="23">
        <f>(L62/60)*VLOOKUP(C62,Employees!A:J,10,0)*2</f>
        <v>0</v>
      </c>
      <c r="N62" s="24">
        <f t="shared" si="47"/>
        <v>0</v>
      </c>
      <c r="O62" s="25">
        <f>(N62/60)*VLOOKUP(C62,Employees!A:J,10,0)*1.5</f>
        <v>0</v>
      </c>
      <c r="P62" s="23">
        <f>IF(G62="غياب",VLOOKUP(C62,Employees!$A$3:$J$36,9,FALSE()),0)</f>
        <v>0</v>
      </c>
    </row>
    <row r="63" spans="1:16" ht="15" customHeight="1">
      <c r="A63" s="17" t="s">
        <v>106</v>
      </c>
      <c r="B63" s="19" t="s">
        <v>71</v>
      </c>
      <c r="C63" s="19" t="s">
        <v>13</v>
      </c>
      <c r="D63" s="19" t="str">
        <f>VLOOKUP(C63,Employees!A:J,2,0)</f>
        <v>هشام عادل</v>
      </c>
      <c r="E63" s="20">
        <v>0.37986111111111109</v>
      </c>
      <c r="F63" s="30">
        <v>0.75</v>
      </c>
      <c r="G63" s="21" t="s">
        <v>69</v>
      </c>
      <c r="H63" s="20">
        <f t="shared" si="43"/>
        <v>0.37986111111111109</v>
      </c>
      <c r="I63" s="20">
        <f t="shared" si="44"/>
        <v>0.75</v>
      </c>
      <c r="J63" s="22">
        <f t="shared" si="45"/>
        <v>0</v>
      </c>
      <c r="K63" s="47">
        <f>(J63/60)*VLOOKUP(C63,Employees!A:J,10,0)*1.5</f>
        <v>0</v>
      </c>
      <c r="L63" s="22">
        <f t="shared" si="46"/>
        <v>0</v>
      </c>
      <c r="M63" s="23">
        <f>(L63/60)*VLOOKUP(C63,Employees!A:J,10,0)*2</f>
        <v>0</v>
      </c>
      <c r="N63" s="24">
        <f t="shared" si="47"/>
        <v>0</v>
      </c>
      <c r="O63" s="25">
        <f>(N63/60)*VLOOKUP(C63,Employees!A:J,10,0)*1.5</f>
        <v>0</v>
      </c>
      <c r="P63" s="23">
        <f>IF(G63="غياب",VLOOKUP(C63,Employees!$A$3:$J$36,9,FALSE()),0)</f>
        <v>0</v>
      </c>
    </row>
    <row r="64" spans="1:16" ht="15" customHeight="1">
      <c r="A64" s="17" t="s">
        <v>67</v>
      </c>
      <c r="B64" s="19" t="s">
        <v>68</v>
      </c>
      <c r="C64" s="19" t="s">
        <v>15</v>
      </c>
      <c r="D64" s="19" t="str">
        <f>VLOOKUP(C64,Employees!A:J,2,0)</f>
        <v>احمد الشاذلى</v>
      </c>
      <c r="E64" s="20">
        <v>0.39791666666666664</v>
      </c>
      <c r="F64" s="20">
        <v>0.75</v>
      </c>
      <c r="G64" s="21" t="s">
        <v>69</v>
      </c>
      <c r="H64" s="20">
        <v>0.40902777777777777</v>
      </c>
      <c r="I64" s="20">
        <v>0.75</v>
      </c>
      <c r="J64" s="22">
        <f t="shared" si="45"/>
        <v>0</v>
      </c>
      <c r="K64" s="47">
        <f>(J64/60)*VLOOKUP(C64,Employees!A:J,10,0)*1.5</f>
        <v>0</v>
      </c>
      <c r="L64" s="22">
        <f t="shared" si="46"/>
        <v>0</v>
      </c>
      <c r="M64" s="23">
        <f>(L64/60)*VLOOKUP(C64,Employees!A:J,10,0)*2</f>
        <v>0</v>
      </c>
      <c r="N64" s="24">
        <f t="shared" si="47"/>
        <v>0</v>
      </c>
      <c r="O64" s="25">
        <f>(N64/60)*VLOOKUP(C64,Employees!A:J,10,0)*1.5</f>
        <v>0</v>
      </c>
      <c r="P64" s="23">
        <f>IF(G64="غياب",VLOOKUP(C64,Employees!$A$3:$J$36,9,FALSE()),0)</f>
        <v>0</v>
      </c>
    </row>
    <row r="65" spans="1:16" ht="15" customHeight="1">
      <c r="A65" s="48" t="s">
        <v>70</v>
      </c>
      <c r="B65" s="49" t="s">
        <v>71</v>
      </c>
      <c r="C65" s="49" t="s">
        <v>15</v>
      </c>
      <c r="D65" s="49" t="str">
        <f>VLOOKUP(C65,Employees!A:J,2,0)</f>
        <v>احمد الشاذلى</v>
      </c>
      <c r="E65" s="50">
        <v>0.375</v>
      </c>
      <c r="F65" s="50">
        <v>0.75</v>
      </c>
      <c r="G65" s="51" t="s">
        <v>130</v>
      </c>
      <c r="H65" s="52" t="s">
        <v>78</v>
      </c>
      <c r="I65" s="52" t="s">
        <v>78</v>
      </c>
      <c r="J65" s="22">
        <f t="shared" si="10"/>
        <v>0</v>
      </c>
      <c r="K65" s="47">
        <f>(J65/60)*VLOOKUP(C65,Employees!A:J,10,0)*1.5</f>
        <v>0</v>
      </c>
      <c r="L65" s="22" t="s">
        <v>78</v>
      </c>
      <c r="M65" s="23" t="s">
        <v>78</v>
      </c>
      <c r="N65" s="24" t="s">
        <v>78</v>
      </c>
      <c r="O65" s="25" t="s">
        <v>78</v>
      </c>
      <c r="P65" s="23">
        <f>IF(G65="غياب",VLOOKUP(C65,Employees!$A$3:$J$36,9,FALSE()),0)</f>
        <v>259.25925925925924</v>
      </c>
    </row>
    <row r="66" spans="1:16" ht="15" customHeight="1">
      <c r="A66" s="17" t="s">
        <v>72</v>
      </c>
      <c r="B66" s="19" t="s">
        <v>73</v>
      </c>
      <c r="C66" s="19" t="s">
        <v>15</v>
      </c>
      <c r="D66" s="19" t="str">
        <f>VLOOKUP(C66,Employees!A:J,2,0)</f>
        <v>احمد الشاذلى</v>
      </c>
      <c r="E66" s="20">
        <v>0.39583333333333331</v>
      </c>
      <c r="F66" s="20">
        <v>0.75</v>
      </c>
      <c r="G66" s="21" t="s">
        <v>69</v>
      </c>
      <c r="H66" s="20">
        <v>0.39652777777777776</v>
      </c>
      <c r="I66" s="20">
        <v>0.75</v>
      </c>
      <c r="J66" s="22">
        <f t="shared" ref="J66:J67" si="48">IF(OR(H66="",G66="غياب",G66="إجازة أسبوعية"),0,
IF(H66&gt;=E66-TIME(0,20,0),0,
IF(H66&gt;=E66-TIME(0,30,0),30,(E66-H66)*1440)))</f>
        <v>0</v>
      </c>
      <c r="K66" s="47">
        <f>(J66/60)*VLOOKUP(C66,Employees!A:J,10,0)*1.5</f>
        <v>0</v>
      </c>
      <c r="L66" s="22">
        <f t="shared" ref="L66:L67" si="49">IF(OR(H66="",G66="غياب",G66="إجازة أسبوعية"),0,
IF(H66&lt;=E66+TIME(0,30,0),0,
30+((H66-(E66+TIME(0,30,0)))*1440)))</f>
        <v>0</v>
      </c>
      <c r="M66" s="23">
        <f>(L66/60)*VLOOKUP(C66,Employees!A:J,10,0)*2</f>
        <v>0</v>
      </c>
      <c r="N66" s="24">
        <f t="shared" ref="N66:N67" si="50">IF(OR(I66="",G66="غياب",G66="إجازة أسبوعية",I66&lt;=F66),0,
IF(MOD(I66-F66,1)&lt;=TIME(0,25,0),0,MAX(0,(I66-F66)*1440)))</f>
        <v>0</v>
      </c>
      <c r="O66" s="25">
        <f>(N66/60)*VLOOKUP(C66,Employees!A:J,10,0)*1.5</f>
        <v>0</v>
      </c>
      <c r="P66" s="23">
        <f>IF(G66="غياب",VLOOKUP(C66,Employees!$A$3:$J$36,9,FALSE()),0)</f>
        <v>0</v>
      </c>
    </row>
    <row r="67" spans="1:16" ht="15" customHeight="1">
      <c r="A67" s="17" t="s">
        <v>74</v>
      </c>
      <c r="B67" s="19" t="s">
        <v>75</v>
      </c>
      <c r="C67" s="19" t="s">
        <v>15</v>
      </c>
      <c r="D67" s="19" t="str">
        <f>VLOOKUP(C67,Employees!A:J,2,0)</f>
        <v>احمد الشاذلى</v>
      </c>
      <c r="E67" s="20">
        <v>0.38958333333333334</v>
      </c>
      <c r="F67" s="20">
        <v>0.75</v>
      </c>
      <c r="G67" s="21" t="s">
        <v>69</v>
      </c>
      <c r="H67" s="20">
        <v>0.40555555555555556</v>
      </c>
      <c r="I67" s="30">
        <v>0.78402777777777777</v>
      </c>
      <c r="J67" s="22">
        <f t="shared" si="48"/>
        <v>0</v>
      </c>
      <c r="K67" s="47">
        <f>(J67/60)*VLOOKUP(C67,Employees!A:J,10,0)*1.5</f>
        <v>0</v>
      </c>
      <c r="L67" s="22">
        <f t="shared" si="49"/>
        <v>0</v>
      </c>
      <c r="M67" s="23">
        <f>(L67/60)*VLOOKUP(C67,Employees!A:J,10,0)*2</f>
        <v>0</v>
      </c>
      <c r="N67" s="24">
        <f t="shared" si="50"/>
        <v>48.999999999999986</v>
      </c>
      <c r="O67" s="25">
        <f>(N67/60)*VLOOKUP(C67,Employees!A:J,10,0)*1.5</f>
        <v>35.288065843621382</v>
      </c>
      <c r="P67" s="23">
        <f>IF(G67="غياب",VLOOKUP(C67,Employees!$A$3:$J$36,9,FALSE()),0)</f>
        <v>0</v>
      </c>
    </row>
    <row r="68" spans="1:16" ht="15" customHeight="1">
      <c r="A68" s="26" t="s">
        <v>76</v>
      </c>
      <c r="B68" s="28" t="s">
        <v>77</v>
      </c>
      <c r="C68" s="28" t="s">
        <v>15</v>
      </c>
      <c r="D68" s="28" t="str">
        <f>VLOOKUP(C68,Employees!A:J,2,0)</f>
        <v>احمد الشاذلى</v>
      </c>
      <c r="E68" s="29" t="s">
        <v>78</v>
      </c>
      <c r="F68" s="29" t="s">
        <v>78</v>
      </c>
      <c r="G68" s="27" t="s">
        <v>79</v>
      </c>
      <c r="H68" s="29" t="s">
        <v>78</v>
      </c>
      <c r="I68" s="29" t="s">
        <v>78</v>
      </c>
      <c r="J68" s="22" t="s">
        <v>78</v>
      </c>
      <c r="K68" s="47" t="s">
        <v>78</v>
      </c>
      <c r="L68" s="22" t="s">
        <v>78</v>
      </c>
      <c r="M68" s="23" t="s">
        <v>78</v>
      </c>
      <c r="N68" s="24" t="s">
        <v>78</v>
      </c>
      <c r="O68" s="24" t="s">
        <v>78</v>
      </c>
      <c r="P68" s="23">
        <f>IF(G68="غياب",VLOOKUP(C68,Employees!$A$3:$J$36,9,FALSE()),0)</f>
        <v>0</v>
      </c>
    </row>
    <row r="69" spans="1:16" ht="15" customHeight="1">
      <c r="A69" s="17" t="s">
        <v>80</v>
      </c>
      <c r="B69" s="19" t="s">
        <v>81</v>
      </c>
      <c r="C69" s="19" t="s">
        <v>15</v>
      </c>
      <c r="D69" s="19" t="str">
        <f>VLOOKUP(C69,Employees!A:J,2,0)</f>
        <v>احمد الشاذلى</v>
      </c>
      <c r="E69" s="20">
        <v>0.40347222222222223</v>
      </c>
      <c r="F69" s="20">
        <v>0.75</v>
      </c>
      <c r="G69" s="21" t="s">
        <v>69</v>
      </c>
      <c r="H69" s="20">
        <v>0.41805555555555557</v>
      </c>
      <c r="I69" s="30">
        <v>0.76249999999999996</v>
      </c>
      <c r="J69" s="22">
        <f t="shared" ref="J69:J74" si="51">IF(OR(H69="",G69="غياب",G69="إجازة أسبوعية"),0,
IF(H69&gt;=E69-TIME(0,20,0),0,
IF(H69&gt;=E69-TIME(0,30,0),30,(E69-H69)*1440)))</f>
        <v>0</v>
      </c>
      <c r="K69" s="47">
        <f>(J69/60)*VLOOKUP(C69,Employees!A:J,10,0)*1.5</f>
        <v>0</v>
      </c>
      <c r="L69" s="22">
        <f t="shared" ref="L69:L74" si="52">IF(OR(H69="",G69="غياب",G69="إجازة أسبوعية"),0,
IF(H69&lt;=E69+TIME(0,30,0),0,
30+((H69-(E69+TIME(0,30,0)))*1440)))</f>
        <v>0</v>
      </c>
      <c r="M69" s="23">
        <f>(L69/60)*VLOOKUP(C69,Employees!A:J,10,0)*2</f>
        <v>0</v>
      </c>
      <c r="N69" s="24">
        <f t="shared" ref="N69:N74" si="53">IF(OR(I69="",G69="غياب",G69="إجازة أسبوعية",I69&lt;=F69),0,
IF(MOD(I69-F69,1)&lt;=TIME(0,25,0),0,MAX(0,(I69-F69)*1440)))</f>
        <v>0</v>
      </c>
      <c r="O69" s="25">
        <f>(N69/60)*VLOOKUP(C69,Employees!A:J,10,0)*1.5</f>
        <v>0</v>
      </c>
      <c r="P69" s="23">
        <f>IF(G69="غياب",VLOOKUP(C69,Employees!$A$3:$J$36,9,FALSE()),0)</f>
        <v>0</v>
      </c>
    </row>
    <row r="70" spans="1:16" ht="15" customHeight="1">
      <c r="A70" s="17" t="s">
        <v>82</v>
      </c>
      <c r="B70" s="19" t="s">
        <v>83</v>
      </c>
      <c r="C70" s="19" t="s">
        <v>15</v>
      </c>
      <c r="D70" s="19" t="str">
        <f>VLOOKUP(C70,Employees!A:J,2,0)</f>
        <v>احمد الشاذلى</v>
      </c>
      <c r="E70" s="20">
        <v>0.39652777777777776</v>
      </c>
      <c r="F70" s="20">
        <v>0.75</v>
      </c>
      <c r="G70" s="21" t="s">
        <v>69</v>
      </c>
      <c r="H70" s="20">
        <v>0.42291666666666666</v>
      </c>
      <c r="I70" s="30">
        <v>0.75972222222222219</v>
      </c>
      <c r="J70" s="22">
        <f t="shared" si="51"/>
        <v>0</v>
      </c>
      <c r="K70" s="47">
        <f>(J70/60)*VLOOKUP(C70,Employees!A:J,10,0)*1.5</f>
        <v>0</v>
      </c>
      <c r="L70" s="22">
        <f t="shared" si="52"/>
        <v>38.00000000000005</v>
      </c>
      <c r="M70" s="23">
        <f>(L70/60)*VLOOKUP(C70,Employees!A:J,10,0)*2</f>
        <v>36.488340192043943</v>
      </c>
      <c r="N70" s="24">
        <f t="shared" si="53"/>
        <v>0</v>
      </c>
      <c r="O70" s="25">
        <f>(N70/60)*VLOOKUP(C70,Employees!A:J,10,0)*1.5</f>
        <v>0</v>
      </c>
      <c r="P70" s="23">
        <f>IF(G70="غياب",VLOOKUP(C70,Employees!$A$3:$J$36,9,FALSE()),0)</f>
        <v>0</v>
      </c>
    </row>
    <row r="71" spans="1:16" ht="15" customHeight="1">
      <c r="A71" s="17" t="s">
        <v>84</v>
      </c>
      <c r="B71" s="19" t="s">
        <v>68</v>
      </c>
      <c r="C71" s="19" t="s">
        <v>15</v>
      </c>
      <c r="D71" s="19" t="str">
        <f>VLOOKUP(C71,Employees!A:J,2,0)</f>
        <v>احمد الشاذلى</v>
      </c>
      <c r="E71" s="20">
        <v>0.3923611111111111</v>
      </c>
      <c r="F71" s="20">
        <v>0.75</v>
      </c>
      <c r="G71" s="21" t="s">
        <v>69</v>
      </c>
      <c r="H71" s="20">
        <v>0.4236111111111111</v>
      </c>
      <c r="I71" s="30">
        <v>0.74930555555555556</v>
      </c>
      <c r="J71" s="22">
        <f t="shared" si="51"/>
        <v>0</v>
      </c>
      <c r="K71" s="47">
        <f>(J71/60)*VLOOKUP(C71,Employees!A:J,10,0)*1.5</f>
        <v>0</v>
      </c>
      <c r="L71" s="22">
        <f t="shared" si="52"/>
        <v>45.000000000000028</v>
      </c>
      <c r="M71" s="23">
        <f>(L71/60)*VLOOKUP(C71,Employees!A:J,10,0)*2</f>
        <v>43.209876543209901</v>
      </c>
      <c r="N71" s="24">
        <f t="shared" si="53"/>
        <v>0</v>
      </c>
      <c r="O71" s="25">
        <f>(N71/60)*VLOOKUP(C71,Employees!A:J,10,0)*1.5</f>
        <v>0</v>
      </c>
      <c r="P71" s="23">
        <f>IF(G71="غياب",VLOOKUP(C71,Employees!$A$3:$J$36,9,FALSE()),0)</f>
        <v>0</v>
      </c>
    </row>
    <row r="72" spans="1:16" ht="15" customHeight="1">
      <c r="A72" s="17" t="s">
        <v>85</v>
      </c>
      <c r="B72" s="19" t="s">
        <v>71</v>
      </c>
      <c r="C72" s="19" t="s">
        <v>15</v>
      </c>
      <c r="D72" s="19" t="str">
        <f>VLOOKUP(C72,Employees!A:J,2,0)</f>
        <v>احمد الشاذلى</v>
      </c>
      <c r="E72" s="20">
        <v>0.38819444444444445</v>
      </c>
      <c r="F72" s="20">
        <v>0.75</v>
      </c>
      <c r="G72" s="21" t="s">
        <v>69</v>
      </c>
      <c r="H72" s="20">
        <v>0.38819444444444445</v>
      </c>
      <c r="I72" s="30">
        <v>0.74583333333333335</v>
      </c>
      <c r="J72" s="22">
        <f t="shared" si="51"/>
        <v>0</v>
      </c>
      <c r="K72" s="47">
        <f>(J72/60)*VLOOKUP(C72,Employees!A:J,10,0)*1.5</f>
        <v>0</v>
      </c>
      <c r="L72" s="22">
        <f t="shared" si="52"/>
        <v>0</v>
      </c>
      <c r="M72" s="23">
        <f>(L72/60)*VLOOKUP(C72,Employees!A:J,10,0)*2</f>
        <v>0</v>
      </c>
      <c r="N72" s="24">
        <f t="shared" si="53"/>
        <v>0</v>
      </c>
      <c r="O72" s="25">
        <f>(N72/60)*VLOOKUP(C72,Employees!A:J,10,0)*1.5</f>
        <v>0</v>
      </c>
      <c r="P72" s="23">
        <f>IF(G72="غياب",VLOOKUP(C72,Employees!$A$3:$J$36,9,FALSE()),0)</f>
        <v>0</v>
      </c>
    </row>
    <row r="73" spans="1:16" ht="15" customHeight="1">
      <c r="A73" s="17" t="s">
        <v>86</v>
      </c>
      <c r="B73" s="19" t="s">
        <v>73</v>
      </c>
      <c r="C73" s="19" t="s">
        <v>15</v>
      </c>
      <c r="D73" s="19" t="str">
        <f>VLOOKUP(C73,Employees!A:J,2,0)</f>
        <v>احمد الشاذلى</v>
      </c>
      <c r="E73" s="20">
        <v>0.40625</v>
      </c>
      <c r="F73" s="20">
        <v>0.75</v>
      </c>
      <c r="G73" s="21" t="s">
        <v>69</v>
      </c>
      <c r="H73" s="20">
        <v>0.40694444444444444</v>
      </c>
      <c r="I73" s="30">
        <v>0.75</v>
      </c>
      <c r="J73" s="22">
        <f t="shared" si="51"/>
        <v>0</v>
      </c>
      <c r="K73" s="47">
        <f>(J73/60)*VLOOKUP(C73,Employees!A:J,10,0)*1.5</f>
        <v>0</v>
      </c>
      <c r="L73" s="22">
        <f t="shared" si="52"/>
        <v>0</v>
      </c>
      <c r="M73" s="23">
        <f>(L73/60)*VLOOKUP(C73,Employees!A:J,10,0)*2</f>
        <v>0</v>
      </c>
      <c r="N73" s="24">
        <f t="shared" si="53"/>
        <v>0</v>
      </c>
      <c r="O73" s="25">
        <f>(N73/60)*VLOOKUP(C73,Employees!A:J,10,0)*1.5</f>
        <v>0</v>
      </c>
      <c r="P73" s="23">
        <f>IF(G73="غياب",VLOOKUP(C73,Employees!$A$3:$J$36,9,FALSE()),0)</f>
        <v>0</v>
      </c>
    </row>
    <row r="74" spans="1:16" ht="15" customHeight="1">
      <c r="A74" s="17" t="s">
        <v>87</v>
      </c>
      <c r="B74" s="19" t="s">
        <v>75</v>
      </c>
      <c r="C74" s="19" t="s">
        <v>15</v>
      </c>
      <c r="D74" s="19" t="str">
        <f>VLOOKUP(C74,Employees!A:J,2,0)</f>
        <v>احمد الشاذلى</v>
      </c>
      <c r="E74" s="20">
        <v>0.41666666666666669</v>
      </c>
      <c r="F74" s="30">
        <v>0.79166666666666696</v>
      </c>
      <c r="G74" s="21" t="s">
        <v>69</v>
      </c>
      <c r="H74" s="20">
        <v>0.41666666666666669</v>
      </c>
      <c r="I74" s="30">
        <v>0.75624999999999998</v>
      </c>
      <c r="J74" s="22">
        <f t="shared" si="51"/>
        <v>0</v>
      </c>
      <c r="K74" s="47">
        <f>(J74/60)*VLOOKUP(C74,Employees!A:J,10,0)*1.5</f>
        <v>0</v>
      </c>
      <c r="L74" s="22">
        <f t="shared" si="52"/>
        <v>0</v>
      </c>
      <c r="M74" s="23">
        <f>(L74/60)*VLOOKUP(C74,Employees!A:J,10,0)*2</f>
        <v>0</v>
      </c>
      <c r="N74" s="24">
        <f t="shared" si="53"/>
        <v>0</v>
      </c>
      <c r="O74" s="25">
        <f>(N74/60)*VLOOKUP(C74,Employees!A:J,10,0)*1.5</f>
        <v>0</v>
      </c>
      <c r="P74" s="23">
        <f>IF(G74="غياب",VLOOKUP(C74,Employees!$A$3:$J$36,9,FALSE()),0)</f>
        <v>0</v>
      </c>
    </row>
    <row r="75" spans="1:16" ht="15" customHeight="1">
      <c r="A75" s="26" t="s">
        <v>88</v>
      </c>
      <c r="B75" s="28" t="s">
        <v>77</v>
      </c>
      <c r="C75" s="28" t="s">
        <v>15</v>
      </c>
      <c r="D75" s="28" t="str">
        <f>VLOOKUP(C75,Employees!A:J,2,0)</f>
        <v>احمد الشاذلى</v>
      </c>
      <c r="E75" s="29" t="s">
        <v>78</v>
      </c>
      <c r="F75" s="29" t="s">
        <v>78</v>
      </c>
      <c r="G75" s="27" t="s">
        <v>79</v>
      </c>
      <c r="H75" s="29" t="s">
        <v>78</v>
      </c>
      <c r="I75" s="29" t="s">
        <v>78</v>
      </c>
      <c r="J75" s="22" t="s">
        <v>78</v>
      </c>
      <c r="K75" s="47" t="s">
        <v>78</v>
      </c>
      <c r="L75" s="22" t="s">
        <v>78</v>
      </c>
      <c r="M75" s="23" t="s">
        <v>78</v>
      </c>
      <c r="N75" s="24" t="s">
        <v>78</v>
      </c>
      <c r="O75" s="24" t="s">
        <v>78</v>
      </c>
      <c r="P75" s="23">
        <f>IF(G75="غياب",VLOOKUP(C75,Employees!$A$3:$J$36,9,FALSE()),0)</f>
        <v>0</v>
      </c>
    </row>
    <row r="76" spans="1:16" ht="15" customHeight="1">
      <c r="A76" s="26" t="s">
        <v>89</v>
      </c>
      <c r="B76" s="28" t="s">
        <v>81</v>
      </c>
      <c r="C76" s="28" t="s">
        <v>15</v>
      </c>
      <c r="D76" s="28" t="str">
        <f>VLOOKUP(C76,Employees!A:J,2,0)</f>
        <v>احمد الشاذلى</v>
      </c>
      <c r="E76" s="29" t="s">
        <v>78</v>
      </c>
      <c r="F76" s="29" t="s">
        <v>78</v>
      </c>
      <c r="G76" s="27" t="s">
        <v>79</v>
      </c>
      <c r="H76" s="29" t="s">
        <v>78</v>
      </c>
      <c r="I76" s="29" t="s">
        <v>78</v>
      </c>
      <c r="J76" s="22" t="s">
        <v>78</v>
      </c>
      <c r="K76" s="47" t="s">
        <v>78</v>
      </c>
      <c r="L76" s="22" t="s">
        <v>78</v>
      </c>
      <c r="M76" s="23" t="s">
        <v>78</v>
      </c>
      <c r="N76" s="24" t="s">
        <v>78</v>
      </c>
      <c r="O76" s="24" t="s">
        <v>78</v>
      </c>
      <c r="P76" s="23">
        <f>IF(G76="غياب",VLOOKUP(C76,Employees!$A$3:$J$36,9,FALSE()),0)</f>
        <v>0</v>
      </c>
    </row>
    <row r="77" spans="1:16" ht="15" customHeight="1">
      <c r="A77" s="17" t="s">
        <v>90</v>
      </c>
      <c r="B77" s="19" t="s">
        <v>83</v>
      </c>
      <c r="C77" s="19" t="s">
        <v>15</v>
      </c>
      <c r="D77" s="19" t="str">
        <f>VLOOKUP(C77,Employees!A:J,2,0)</f>
        <v>احمد الشاذلى</v>
      </c>
      <c r="E77" s="20">
        <v>0.41666666666666669</v>
      </c>
      <c r="F77" s="30">
        <v>0.79166666666666696</v>
      </c>
      <c r="G77" s="21" t="s">
        <v>69</v>
      </c>
      <c r="H77" s="20">
        <v>0.41666666666666669</v>
      </c>
      <c r="I77" s="30">
        <v>0.75138888888888888</v>
      </c>
      <c r="J77" s="22">
        <f t="shared" ref="J77:J78" si="54">IF(OR(H77="",G77="غياب",G77="إجازة أسبوعية"),0,
IF(H77&gt;=E77-TIME(0,20,0),0,
IF(H77&gt;=E77-TIME(0,30,0),30,(E77-H77)*1440)))</f>
        <v>0</v>
      </c>
      <c r="K77" s="47">
        <f>(J77/60)*VLOOKUP(C77,Employees!A:J,10,0)*1.5</f>
        <v>0</v>
      </c>
      <c r="L77" s="22">
        <f t="shared" ref="L77:L78" si="55">IF(OR(H77="",G77="غياب",G77="إجازة أسبوعية"),0,
IF(H77&lt;=E77+TIME(0,30,0),0,
30+((H77-(E77+TIME(0,30,0)))*1440)))</f>
        <v>0</v>
      </c>
      <c r="M77" s="23">
        <f>(L77/60)*VLOOKUP(C77,Employees!A:J,10,0)*2</f>
        <v>0</v>
      </c>
      <c r="N77" s="24">
        <f t="shared" ref="N77:N78" si="56">IF(OR(I77="",G77="غياب",G77="إجازة أسبوعية",I77&lt;=F77),0,
IF(MOD(I77-F77,1)&lt;=TIME(0,25,0),0,MAX(0,(I77-F77)*1440)))</f>
        <v>0</v>
      </c>
      <c r="O77" s="25">
        <f>(N77/60)*VLOOKUP(C77,Employees!A:J,10,0)*1.5</f>
        <v>0</v>
      </c>
      <c r="P77" s="23">
        <f>IF(G77="غياب",VLOOKUP(C77,Employees!$A$3:$J$36,9,FALSE()),0)</f>
        <v>0</v>
      </c>
    </row>
    <row r="78" spans="1:16" ht="15" customHeight="1">
      <c r="A78" s="17" t="s">
        <v>91</v>
      </c>
      <c r="B78" s="19" t="s">
        <v>68</v>
      </c>
      <c r="C78" s="19" t="s">
        <v>15</v>
      </c>
      <c r="D78" s="19" t="str">
        <f>VLOOKUP(C78,Employees!A:J,2,0)</f>
        <v>احمد الشاذلى</v>
      </c>
      <c r="E78" s="20">
        <v>0.41666666666666669</v>
      </c>
      <c r="F78" s="30">
        <v>0.79166666666666696</v>
      </c>
      <c r="G78" s="21" t="s">
        <v>69</v>
      </c>
      <c r="H78" s="20">
        <v>0.41666666666666669</v>
      </c>
      <c r="I78" s="30">
        <v>0.74444444444444446</v>
      </c>
      <c r="J78" s="22">
        <f t="shared" si="54"/>
        <v>0</v>
      </c>
      <c r="K78" s="47">
        <f>(J78/60)*VLOOKUP(C78,Employees!A:J,10,0)*1.5</f>
        <v>0</v>
      </c>
      <c r="L78" s="22">
        <f t="shared" si="55"/>
        <v>0</v>
      </c>
      <c r="M78" s="23">
        <f>(L78/60)*VLOOKUP(C78,Employees!A:J,10,0)*2</f>
        <v>0</v>
      </c>
      <c r="N78" s="24">
        <f t="shared" si="56"/>
        <v>0</v>
      </c>
      <c r="O78" s="25">
        <f>(N78/60)*VLOOKUP(C78,Employees!A:J,10,0)*1.5</f>
        <v>0</v>
      </c>
      <c r="P78" s="23">
        <f>IF(G78="غياب",VLOOKUP(C78,Employees!$A$3:$J$36,9,FALSE()),0)</f>
        <v>0</v>
      </c>
    </row>
    <row r="79" spans="1:16" ht="15" customHeight="1">
      <c r="A79" s="48" t="s">
        <v>92</v>
      </c>
      <c r="B79" s="49" t="s">
        <v>71</v>
      </c>
      <c r="C79" s="49" t="s">
        <v>15</v>
      </c>
      <c r="D79" s="49" t="str">
        <f>VLOOKUP(C79,Employees!A:J,2,0)</f>
        <v>احمد الشاذلى</v>
      </c>
      <c r="E79" s="50">
        <v>0.41666666666666702</v>
      </c>
      <c r="F79" s="53">
        <v>0.79166666666666696</v>
      </c>
      <c r="G79" s="51" t="s">
        <v>130</v>
      </c>
      <c r="H79" s="52" t="s">
        <v>78</v>
      </c>
      <c r="I79" s="52" t="s">
        <v>78</v>
      </c>
      <c r="J79" s="22">
        <f t="shared" ref="J79:J126" si="57">IF(OR(G79="غياب",G79="إجازة أسبوعية"),0,
IF(H79&gt;=E79-TIME(0,20,0),0,
IF(H79&gt;=E79-TIME(0,30,0),30,(E79-H79)*1440)))</f>
        <v>0</v>
      </c>
      <c r="K79" s="47">
        <f>(J79/60)*VLOOKUP(C79,Employees!A:J,10,0)*1.5</f>
        <v>0</v>
      </c>
      <c r="L79" s="22" t="s">
        <v>78</v>
      </c>
      <c r="M79" s="23" t="s">
        <v>78</v>
      </c>
      <c r="N79" s="24" t="s">
        <v>78</v>
      </c>
      <c r="O79" s="25" t="s">
        <v>78</v>
      </c>
      <c r="P79" s="23">
        <f>IF(G79="غياب",VLOOKUP(C79,Employees!$A$3:$J$36,9,FALSE()),0)</f>
        <v>259.25925925925924</v>
      </c>
    </row>
    <row r="80" spans="1:16" ht="15" customHeight="1">
      <c r="A80" s="17" t="s">
        <v>93</v>
      </c>
      <c r="B80" s="19" t="s">
        <v>73</v>
      </c>
      <c r="C80" s="19" t="s">
        <v>15</v>
      </c>
      <c r="D80" s="19" t="str">
        <f>VLOOKUP(C80,Employees!A:J,2,0)</f>
        <v>احمد الشاذلى</v>
      </c>
      <c r="E80" s="20">
        <v>0.42916666666666664</v>
      </c>
      <c r="F80" s="30">
        <v>0.79166666666666696</v>
      </c>
      <c r="G80" s="21" t="s">
        <v>69</v>
      </c>
      <c r="H80" s="20">
        <v>0.43541666666666667</v>
      </c>
      <c r="I80" s="20">
        <v>0.77500000000000002</v>
      </c>
      <c r="J80" s="22">
        <f>IF(OR(H80="",G80="غياب",G80="إجازة أسبوعية"),0,
IF(H80&gt;=E80-TIME(0,20,0),0,
IF(H80&gt;=E80-TIME(0,30,0),30,(E80-H80)*1440)))</f>
        <v>0</v>
      </c>
      <c r="K80" s="47">
        <f>(J80/60)*VLOOKUP(C80,Employees!A:J,10,0)*1.5</f>
        <v>0</v>
      </c>
      <c r="L80" s="22">
        <f>IF(OR(H80="",G80="غياب",G80="إجازة أسبوعية"),0,
IF(H80&lt;=E80+TIME(0,30,0),0,
30+((H80-(E80+TIME(0,30,0)))*1440)))</f>
        <v>0</v>
      </c>
      <c r="M80" s="23">
        <f>(L80/60)*VLOOKUP(C80,Employees!A:J,10,0)*2</f>
        <v>0</v>
      </c>
      <c r="N80" s="24">
        <f>IF(OR(I80="",G80="غياب",G80="إجازة أسبوعية",I80&lt;=F80),0,
IF(MOD(I80-F80,1)&lt;=TIME(0,25,0),0,MAX(0,(I80-F80)*1440)))</f>
        <v>0</v>
      </c>
      <c r="O80" s="25">
        <f>(N80/60)*VLOOKUP(C80,Employees!A:J,10,0)*1.5</f>
        <v>0</v>
      </c>
      <c r="P80" s="23">
        <f>IF(G80="غياب",VLOOKUP(C80,Employees!$A$3:$J$36,9,FALSE()),0)</f>
        <v>0</v>
      </c>
    </row>
    <row r="81" spans="1:16" ht="15" customHeight="1">
      <c r="A81" s="48" t="s">
        <v>94</v>
      </c>
      <c r="B81" s="49" t="s">
        <v>75</v>
      </c>
      <c r="C81" s="49" t="s">
        <v>15</v>
      </c>
      <c r="D81" s="49" t="str">
        <f>VLOOKUP(C81,Employees!A:J,2,0)</f>
        <v>احمد الشاذلى</v>
      </c>
      <c r="E81" s="50">
        <v>0.41666666666666702</v>
      </c>
      <c r="F81" s="53">
        <v>0.79166666666666696</v>
      </c>
      <c r="G81" s="51" t="s">
        <v>130</v>
      </c>
      <c r="H81" s="52" t="s">
        <v>78</v>
      </c>
      <c r="I81" s="52" t="s">
        <v>78</v>
      </c>
      <c r="J81" s="22">
        <f t="shared" si="57"/>
        <v>0</v>
      </c>
      <c r="K81" s="47">
        <f>(J81/60)*VLOOKUP(C81,Employees!A:J,10,0)*1.5</f>
        <v>0</v>
      </c>
      <c r="L81" s="22" t="s">
        <v>78</v>
      </c>
      <c r="M81" s="23" t="s">
        <v>78</v>
      </c>
      <c r="N81" s="24" t="s">
        <v>78</v>
      </c>
      <c r="O81" s="25" t="s">
        <v>78</v>
      </c>
      <c r="P81" s="23">
        <f>IF(G81="غياب",VLOOKUP(C81,Employees!$A$3:$J$36,9,FALSE()),0)</f>
        <v>259.25925925925924</v>
      </c>
    </row>
    <row r="82" spans="1:16" ht="15" customHeight="1">
      <c r="A82" s="26" t="s">
        <v>95</v>
      </c>
      <c r="B82" s="28" t="s">
        <v>77</v>
      </c>
      <c r="C82" s="28" t="s">
        <v>15</v>
      </c>
      <c r="D82" s="28" t="str">
        <f>VLOOKUP(C82,Employees!A:J,2,0)</f>
        <v>احمد الشاذلى</v>
      </c>
      <c r="E82" s="29" t="s">
        <v>78</v>
      </c>
      <c r="F82" s="29" t="s">
        <v>78</v>
      </c>
      <c r="G82" s="27" t="s">
        <v>79</v>
      </c>
      <c r="H82" s="29" t="s">
        <v>78</v>
      </c>
      <c r="I82" s="29" t="s">
        <v>78</v>
      </c>
      <c r="J82" s="22" t="s">
        <v>78</v>
      </c>
      <c r="K82" s="47" t="s">
        <v>78</v>
      </c>
      <c r="L82" s="22" t="s">
        <v>78</v>
      </c>
      <c r="M82" s="23" t="s">
        <v>78</v>
      </c>
      <c r="N82" s="24" t="s">
        <v>78</v>
      </c>
      <c r="O82" s="24" t="s">
        <v>78</v>
      </c>
      <c r="P82" s="23">
        <f>IF(G82="غياب",VLOOKUP(C82,Employees!$A$3:$J$36,9,FALSE()),0)</f>
        <v>0</v>
      </c>
    </row>
    <row r="83" spans="1:16" ht="15" customHeight="1">
      <c r="A83" s="17" t="s">
        <v>96</v>
      </c>
      <c r="B83" s="19" t="s">
        <v>81</v>
      </c>
      <c r="C83" s="19" t="s">
        <v>15</v>
      </c>
      <c r="D83" s="19" t="str">
        <f>VLOOKUP(C83,Employees!A:J,2,0)</f>
        <v>احمد الشاذلى</v>
      </c>
      <c r="E83" s="20">
        <v>0.42152777777777778</v>
      </c>
      <c r="F83" s="30">
        <v>0.79166666666666696</v>
      </c>
      <c r="G83" s="21" t="s">
        <v>69</v>
      </c>
      <c r="H83" s="20">
        <v>0.42430555555555555</v>
      </c>
      <c r="I83" s="20">
        <v>0.79027777777777775</v>
      </c>
      <c r="J83" s="22">
        <f t="shared" ref="J83:J85" si="58">IF(OR(H83="",G83="غياب",G83="إجازة أسبوعية"),0,
IF(H83&gt;=E83-TIME(0,20,0),0,
IF(H83&gt;=E83-TIME(0,30,0),30,(E83-H83)*1440)))</f>
        <v>0</v>
      </c>
      <c r="K83" s="47">
        <f>(J83/60)*VLOOKUP(C83,Employees!A:J,10,0)*1.5</f>
        <v>0</v>
      </c>
      <c r="L83" s="22">
        <f t="shared" ref="L83:L85" si="59">IF(OR(H83="",G83="غياب",G83="إجازة أسبوعية"),0,
IF(H83&lt;=E83+TIME(0,30,0),0,
30+((H83-(E83+TIME(0,30,0)))*1440)))</f>
        <v>0</v>
      </c>
      <c r="M83" s="23">
        <f>(L83/60)*VLOOKUP(C83,Employees!A:J,10,0)*2</f>
        <v>0</v>
      </c>
      <c r="N83" s="24">
        <f t="shared" ref="N83:N85" si="60">IF(OR(I83="",G83="غياب",G83="إجازة أسبوعية",I83&lt;=F83),0,
IF(MOD(I83-F83,1)&lt;=TIME(0,25,0),0,MAX(0,(I83-F83)*1440)))</f>
        <v>0</v>
      </c>
      <c r="O83" s="25">
        <f>(N83/60)*VLOOKUP(C83,Employees!A:J,10,0)*1.5</f>
        <v>0</v>
      </c>
      <c r="P83" s="23">
        <f>IF(G83="غياب",VLOOKUP(C83,Employees!$A$3:$J$36,9,FALSE()),0)</f>
        <v>0</v>
      </c>
    </row>
    <row r="84" spans="1:16" ht="15" customHeight="1">
      <c r="A84" s="17" t="s">
        <v>97</v>
      </c>
      <c r="B84" s="19" t="s">
        <v>83</v>
      </c>
      <c r="C84" s="19" t="s">
        <v>15</v>
      </c>
      <c r="D84" s="19" t="str">
        <f>VLOOKUP(C84,Employees!A:J,2,0)</f>
        <v>احمد الشاذلى</v>
      </c>
      <c r="E84" s="20">
        <v>0.43055555555555558</v>
      </c>
      <c r="F84" s="30">
        <v>0.79166666666666696</v>
      </c>
      <c r="G84" s="21" t="s">
        <v>69</v>
      </c>
      <c r="H84" s="20">
        <v>0.45902777777777776</v>
      </c>
      <c r="I84" s="20">
        <v>0.78611111111111109</v>
      </c>
      <c r="J84" s="22">
        <f t="shared" si="58"/>
        <v>0</v>
      </c>
      <c r="K84" s="47">
        <f>(J84/60)*VLOOKUP(C84,Employees!A:J,10,0)*1.5</f>
        <v>0</v>
      </c>
      <c r="L84" s="22">
        <f t="shared" si="59"/>
        <v>40.999999999999957</v>
      </c>
      <c r="M84" s="23">
        <f>(L84/60)*VLOOKUP(C84,Employees!A:J,10,0)*2</f>
        <v>39.368998628257842</v>
      </c>
      <c r="N84" s="24">
        <f t="shared" si="60"/>
        <v>0</v>
      </c>
      <c r="O84" s="25">
        <f>(N84/60)*VLOOKUP(C84,Employees!A:J,10,0)*1.5</f>
        <v>0</v>
      </c>
      <c r="P84" s="23">
        <f>IF(G84="غياب",VLOOKUP(C84,Employees!$A$3:$J$36,9,FALSE()),0)</f>
        <v>0</v>
      </c>
    </row>
    <row r="85" spans="1:16" ht="15" customHeight="1">
      <c r="A85" s="17" t="s">
        <v>98</v>
      </c>
      <c r="B85" s="19" t="s">
        <v>68</v>
      </c>
      <c r="C85" s="19" t="s">
        <v>15</v>
      </c>
      <c r="D85" s="19" t="str">
        <f>VLOOKUP(C85,Employees!A:J,2,0)</f>
        <v>احمد الشاذلى</v>
      </c>
      <c r="E85" s="20">
        <v>0.4236111111111111</v>
      </c>
      <c r="F85" s="30">
        <v>0.79166666666666696</v>
      </c>
      <c r="G85" s="21" t="s">
        <v>69</v>
      </c>
      <c r="H85" s="20">
        <v>0.44027777777777777</v>
      </c>
      <c r="I85" s="20">
        <v>0.79583333333333328</v>
      </c>
      <c r="J85" s="22">
        <f t="shared" si="58"/>
        <v>0</v>
      </c>
      <c r="K85" s="47">
        <f>(J85/60)*VLOOKUP(C85,Employees!A:J,10,0)*1.5</f>
        <v>0</v>
      </c>
      <c r="L85" s="22">
        <f t="shared" si="59"/>
        <v>0</v>
      </c>
      <c r="M85" s="23">
        <f>(L85/60)*VLOOKUP(C85,Employees!A:J,10,0)*2</f>
        <v>0</v>
      </c>
      <c r="N85" s="24">
        <f t="shared" si="60"/>
        <v>0</v>
      </c>
      <c r="O85" s="25">
        <f>(N85/60)*VLOOKUP(C85,Employees!A:J,10,0)*1.5</f>
        <v>0</v>
      </c>
      <c r="P85" s="23">
        <f>IF(G85="غياب",VLOOKUP(C85,Employees!$A$3:$J$36,9,FALSE()),0)</f>
        <v>0</v>
      </c>
    </row>
    <row r="86" spans="1:16" ht="15" customHeight="1">
      <c r="A86" s="48" t="s">
        <v>99</v>
      </c>
      <c r="B86" s="49" t="s">
        <v>71</v>
      </c>
      <c r="C86" s="49" t="s">
        <v>15</v>
      </c>
      <c r="D86" s="49" t="str">
        <f>VLOOKUP(C86,Employees!A:J,2,0)</f>
        <v>احمد الشاذلى</v>
      </c>
      <c r="E86" s="50">
        <v>0.41666666666666702</v>
      </c>
      <c r="F86" s="53">
        <v>0.79166666666666696</v>
      </c>
      <c r="G86" s="51" t="s">
        <v>130</v>
      </c>
      <c r="H86" s="52" t="s">
        <v>78</v>
      </c>
      <c r="I86" s="52" t="s">
        <v>78</v>
      </c>
      <c r="J86" s="22">
        <f t="shared" si="57"/>
        <v>0</v>
      </c>
      <c r="K86" s="47">
        <f>(J86/60)*VLOOKUP(C86,Employees!A:J,10,0)*1.5</f>
        <v>0</v>
      </c>
      <c r="L86" s="22" t="s">
        <v>78</v>
      </c>
      <c r="M86" s="23" t="s">
        <v>78</v>
      </c>
      <c r="N86" s="24" t="s">
        <v>78</v>
      </c>
      <c r="O86" s="25" t="s">
        <v>78</v>
      </c>
      <c r="P86" s="23">
        <f>IF(G86="غياب",VLOOKUP(C86,Employees!$A$3:$J$36,9,FALSE()),0)</f>
        <v>259.25925925925924</v>
      </c>
    </row>
    <row r="87" spans="1:16" ht="15" customHeight="1">
      <c r="A87" s="17" t="s">
        <v>100</v>
      </c>
      <c r="B87" s="19" t="s">
        <v>73</v>
      </c>
      <c r="C87" s="19" t="s">
        <v>15</v>
      </c>
      <c r="D87" s="19" t="str">
        <f>VLOOKUP(C87,Employees!A:J,2,0)</f>
        <v>احمد الشاذلى</v>
      </c>
      <c r="E87" s="20">
        <v>0.40069444444444446</v>
      </c>
      <c r="F87" s="30">
        <v>0.75</v>
      </c>
      <c r="G87" s="21" t="s">
        <v>69</v>
      </c>
      <c r="H87" s="20">
        <v>0.41666666666666669</v>
      </c>
      <c r="I87" s="20">
        <v>0.73750000000000004</v>
      </c>
      <c r="J87" s="22">
        <f t="shared" ref="J87:J88" si="61">IF(OR(H87="",G87="غياب",G87="إجازة أسبوعية"),0,
IF(H87&gt;=E87-TIME(0,20,0),0,
IF(H87&gt;=E87-TIME(0,30,0),30,(E87-H87)*1440)))</f>
        <v>0</v>
      </c>
      <c r="K87" s="47">
        <f>(J87/60)*VLOOKUP(C87,Employees!A:J,10,0)*1.5</f>
        <v>0</v>
      </c>
      <c r="L87" s="22">
        <f t="shared" ref="L87:L88" si="62">IF(OR(H87="",G87="غياب",G87="إجازة أسبوعية"),0,
IF(H87&lt;=E87+TIME(0,30,0),0,
30+((H87-(E87+TIME(0,30,0)))*1440)))</f>
        <v>0</v>
      </c>
      <c r="M87" s="23">
        <f>(L87/60)*VLOOKUP(C87,Employees!A:J,10,0)*2</f>
        <v>0</v>
      </c>
      <c r="N87" s="24">
        <f t="shared" ref="N87:N88" si="63">IF(OR(I87="",G87="غياب",G87="إجازة أسبوعية",I87&lt;=F87),0,
IF(MOD(I87-F87,1)&lt;=TIME(0,25,0),0,MAX(0,(I87-F87)*1440)))</f>
        <v>0</v>
      </c>
      <c r="O87" s="25">
        <f>(N87/60)*VLOOKUP(C87,Employees!A:J,10,0)*1.5</f>
        <v>0</v>
      </c>
      <c r="P87" s="23">
        <f>IF(G87="غياب",VLOOKUP(C87,Employees!$A$3:$J$36,9,FALSE()),0)</f>
        <v>0</v>
      </c>
    </row>
    <row r="88" spans="1:16" ht="15" customHeight="1">
      <c r="A88" s="17" t="s">
        <v>101</v>
      </c>
      <c r="B88" s="19" t="s">
        <v>75</v>
      </c>
      <c r="C88" s="19" t="s">
        <v>15</v>
      </c>
      <c r="D88" s="19" t="str">
        <f>VLOOKUP(C88,Employees!A:J,2,0)</f>
        <v>احمد الشاذلى</v>
      </c>
      <c r="E88" s="20">
        <v>0.375</v>
      </c>
      <c r="F88" s="30">
        <v>0.75</v>
      </c>
      <c r="G88" s="21" t="s">
        <v>69</v>
      </c>
      <c r="H88" s="20">
        <v>0.41111111111111109</v>
      </c>
      <c r="I88" s="20">
        <v>0.78125</v>
      </c>
      <c r="J88" s="22">
        <f t="shared" si="61"/>
        <v>0</v>
      </c>
      <c r="K88" s="47">
        <f>(J88/60)*VLOOKUP(C88,Employees!A:J,10,0)*1.5</f>
        <v>0</v>
      </c>
      <c r="L88" s="22">
        <f t="shared" si="62"/>
        <v>52</v>
      </c>
      <c r="M88" s="23">
        <f>(L88/60)*VLOOKUP(C88,Employees!A:J,10,0)*2</f>
        <v>49.931412894375853</v>
      </c>
      <c r="N88" s="24">
        <f t="shared" si="63"/>
        <v>45</v>
      </c>
      <c r="O88" s="25">
        <f>(N88/60)*VLOOKUP(C88,Employees!A:J,10,0)*1.5</f>
        <v>32.407407407407405</v>
      </c>
      <c r="P88" s="23">
        <f>IF(G88="غياب",VLOOKUP(C88,Employees!$A$3:$J$36,9,FALSE()),0)</f>
        <v>0</v>
      </c>
    </row>
    <row r="89" spans="1:16" ht="15" customHeight="1">
      <c r="A89" s="26" t="s">
        <v>102</v>
      </c>
      <c r="B89" s="28" t="s">
        <v>77</v>
      </c>
      <c r="C89" s="28" t="s">
        <v>15</v>
      </c>
      <c r="D89" s="28" t="str">
        <f>VLOOKUP(C89,Employees!A:J,2,0)</f>
        <v>احمد الشاذلى</v>
      </c>
      <c r="E89" s="29" t="s">
        <v>78</v>
      </c>
      <c r="F89" s="29" t="s">
        <v>78</v>
      </c>
      <c r="G89" s="27" t="s">
        <v>79</v>
      </c>
      <c r="H89" s="29" t="s">
        <v>78</v>
      </c>
      <c r="I89" s="29" t="s">
        <v>78</v>
      </c>
      <c r="J89" s="22" t="s">
        <v>78</v>
      </c>
      <c r="K89" s="47" t="s">
        <v>78</v>
      </c>
      <c r="L89" s="22" t="s">
        <v>78</v>
      </c>
      <c r="M89" s="23" t="s">
        <v>78</v>
      </c>
      <c r="N89" s="24" t="s">
        <v>78</v>
      </c>
      <c r="O89" s="24" t="s">
        <v>78</v>
      </c>
      <c r="P89" s="23">
        <f>IF(G89="غياب",VLOOKUP(C89,Employees!$A$3:$J$36,9,FALSE()),0)</f>
        <v>0</v>
      </c>
    </row>
    <row r="90" spans="1:16" ht="15" customHeight="1">
      <c r="A90" s="17" t="s">
        <v>103</v>
      </c>
      <c r="B90" s="19" t="s">
        <v>81</v>
      </c>
      <c r="C90" s="19" t="s">
        <v>15</v>
      </c>
      <c r="D90" s="19" t="str">
        <f>VLOOKUP(C90,Employees!A:J,2,0)</f>
        <v>احمد الشاذلى</v>
      </c>
      <c r="E90" s="20">
        <v>0.40694444444444444</v>
      </c>
      <c r="F90" s="30">
        <v>0.75</v>
      </c>
      <c r="G90" s="21" t="s">
        <v>69</v>
      </c>
      <c r="H90" s="20">
        <v>0.41041666666666665</v>
      </c>
      <c r="I90" s="20">
        <v>0.74791666666666667</v>
      </c>
      <c r="J90" s="22">
        <f t="shared" ref="J90:J97" si="64">IF(OR(H90="",G90="غياب",G90="إجازة أسبوعية"),0,
IF(H90&gt;=E90-TIME(0,20,0),0,
IF(H90&gt;=E90-TIME(0,30,0),30,(E90-H90)*1440)))</f>
        <v>0</v>
      </c>
      <c r="K90" s="47">
        <f>(J90/60)*VLOOKUP(C90,Employees!A:J,10,0)*1.5</f>
        <v>0</v>
      </c>
      <c r="L90" s="22">
        <f t="shared" ref="L90:L97" si="65">IF(OR(H90="",G90="غياب",G90="إجازة أسبوعية"),0,
IF(H90&lt;=E90+TIME(0,30,0),0,
30+((H90-(E90+TIME(0,30,0)))*1440)))</f>
        <v>0</v>
      </c>
      <c r="M90" s="23">
        <f>(L90/60)*VLOOKUP(C90,Employees!A:J,10,0)*2</f>
        <v>0</v>
      </c>
      <c r="N90" s="24">
        <f t="shared" ref="N90:N97" si="66">IF(OR(I90="",G90="غياب",G90="إجازة أسبوعية",I90&lt;=F90),0,
IF(MOD(I90-F90,1)&lt;=TIME(0,25,0),0,MAX(0,(I90-F90)*1440)))</f>
        <v>0</v>
      </c>
      <c r="O90" s="25">
        <f>(N90/60)*VLOOKUP(C90,Employees!A:J,10,0)*1.5</f>
        <v>0</v>
      </c>
      <c r="P90" s="23">
        <f>IF(G90="غياب",VLOOKUP(C90,Employees!$A$3:$J$36,9,FALSE()),0)</f>
        <v>0</v>
      </c>
    </row>
    <row r="91" spans="1:16" ht="15" customHeight="1">
      <c r="A91" s="17" t="s">
        <v>104</v>
      </c>
      <c r="B91" s="19" t="s">
        <v>83</v>
      </c>
      <c r="C91" s="19" t="s">
        <v>15</v>
      </c>
      <c r="D91" s="19" t="str">
        <f>VLOOKUP(C91,Employees!A:J,2,0)</f>
        <v>احمد الشاذلى</v>
      </c>
      <c r="E91" s="20">
        <v>0.38541666666666669</v>
      </c>
      <c r="F91" s="30">
        <v>0.75</v>
      </c>
      <c r="G91" s="21" t="s">
        <v>69</v>
      </c>
      <c r="H91" s="20">
        <v>0.39930555555555558</v>
      </c>
      <c r="I91" s="20">
        <v>0.73958333333333337</v>
      </c>
      <c r="J91" s="22">
        <f t="shared" si="64"/>
        <v>0</v>
      </c>
      <c r="K91" s="47">
        <f>(J91/60)*VLOOKUP(C91,Employees!A:J,10,0)*1.5</f>
        <v>0</v>
      </c>
      <c r="L91" s="22">
        <f t="shared" si="65"/>
        <v>0</v>
      </c>
      <c r="M91" s="23">
        <f>(L91/60)*VLOOKUP(C91,Employees!A:J,10,0)*2</f>
        <v>0</v>
      </c>
      <c r="N91" s="24">
        <f t="shared" si="66"/>
        <v>0</v>
      </c>
      <c r="O91" s="25">
        <f>(N91/60)*VLOOKUP(C91,Employees!A:J,10,0)*1.5</f>
        <v>0</v>
      </c>
      <c r="P91" s="23">
        <f>IF(G91="غياب",VLOOKUP(C91,Employees!$A$3:$J$36,9,FALSE()),0)</f>
        <v>0</v>
      </c>
    </row>
    <row r="92" spans="1:16" ht="15" customHeight="1">
      <c r="A92" s="17" t="s">
        <v>105</v>
      </c>
      <c r="B92" s="19" t="s">
        <v>68</v>
      </c>
      <c r="C92" s="19" t="s">
        <v>15</v>
      </c>
      <c r="D92" s="19" t="str">
        <f>VLOOKUP(C92,Employees!A:J,2,0)</f>
        <v>احمد الشاذلى</v>
      </c>
      <c r="E92" s="20">
        <v>0.3840277777777778</v>
      </c>
      <c r="F92" s="30">
        <v>0.75</v>
      </c>
      <c r="G92" s="21" t="s">
        <v>69</v>
      </c>
      <c r="H92" s="20">
        <v>0.41249999999999998</v>
      </c>
      <c r="I92" s="20">
        <v>0.75277777777777777</v>
      </c>
      <c r="J92" s="22">
        <f t="shared" si="64"/>
        <v>0</v>
      </c>
      <c r="K92" s="47">
        <f>(J92/60)*VLOOKUP(C92,Employees!A:J,10,0)*1.5</f>
        <v>0</v>
      </c>
      <c r="L92" s="22">
        <f t="shared" si="65"/>
        <v>40.999999999999957</v>
      </c>
      <c r="M92" s="23">
        <f>(L92/60)*VLOOKUP(C92,Employees!A:J,10,0)*2</f>
        <v>39.368998628257842</v>
      </c>
      <c r="N92" s="24">
        <f t="shared" si="66"/>
        <v>0</v>
      </c>
      <c r="O92" s="25">
        <f>(N92/60)*VLOOKUP(C92,Employees!A:J,10,0)*1.5</f>
        <v>0</v>
      </c>
      <c r="P92" s="23">
        <f>IF(G92="غياب",VLOOKUP(C92,Employees!$A$3:$J$36,9,FALSE()),0)</f>
        <v>0</v>
      </c>
    </row>
    <row r="93" spans="1:16" ht="15" customHeight="1">
      <c r="A93" s="17" t="s">
        <v>106</v>
      </c>
      <c r="B93" s="19" t="s">
        <v>71</v>
      </c>
      <c r="C93" s="19" t="s">
        <v>15</v>
      </c>
      <c r="D93" s="19" t="str">
        <f>VLOOKUP(C93,Employees!A:J,2,0)</f>
        <v>احمد الشاذلى</v>
      </c>
      <c r="E93" s="20">
        <v>0.37986111111111109</v>
      </c>
      <c r="F93" s="30">
        <v>0.75</v>
      </c>
      <c r="G93" s="21" t="s">
        <v>69</v>
      </c>
      <c r="H93" s="20">
        <v>0.40069444444444446</v>
      </c>
      <c r="I93" s="20">
        <v>0.72638888888888886</v>
      </c>
      <c r="J93" s="22">
        <f t="shared" si="64"/>
        <v>0</v>
      </c>
      <c r="K93" s="47">
        <f>(J93/60)*VLOOKUP(C93,Employees!A:J,10,0)*1.5</f>
        <v>0</v>
      </c>
      <c r="L93" s="22">
        <f t="shared" si="65"/>
        <v>0</v>
      </c>
      <c r="M93" s="23">
        <f>(L93/60)*VLOOKUP(C93,Employees!A:J,10,0)*2</f>
        <v>0</v>
      </c>
      <c r="N93" s="24">
        <f t="shared" si="66"/>
        <v>0</v>
      </c>
      <c r="O93" s="25">
        <f>(N93/60)*VLOOKUP(C93,Employees!A:J,10,0)*1.5</f>
        <v>0</v>
      </c>
      <c r="P93" s="23">
        <f>IF(G93="غياب",VLOOKUP(C93,Employees!$A$3:$J$36,9,FALSE()),0)</f>
        <v>0</v>
      </c>
    </row>
    <row r="94" spans="1:16" ht="15" customHeight="1">
      <c r="A94" s="17" t="s">
        <v>67</v>
      </c>
      <c r="B94" s="19" t="s">
        <v>68</v>
      </c>
      <c r="C94" s="19" t="s">
        <v>16</v>
      </c>
      <c r="D94" s="19" t="str">
        <f>VLOOKUP(C94,Employees!A:J,2,0)</f>
        <v>يوسف احمد</v>
      </c>
      <c r="E94" s="20">
        <v>0.39791666666666664</v>
      </c>
      <c r="F94" s="20">
        <v>0.875</v>
      </c>
      <c r="G94" s="21" t="s">
        <v>69</v>
      </c>
      <c r="H94" s="20">
        <v>0.40416666666666667</v>
      </c>
      <c r="I94" s="20">
        <v>0.86319444444444449</v>
      </c>
      <c r="J94" s="22">
        <f t="shared" si="64"/>
        <v>0</v>
      </c>
      <c r="K94" s="47">
        <f>(J94/60)*VLOOKUP(C94,Employees!A:J,10,0)*1.5</f>
        <v>0</v>
      </c>
      <c r="L94" s="22">
        <f t="shared" si="65"/>
        <v>0</v>
      </c>
      <c r="M94" s="23">
        <f>(L94/60)*VLOOKUP(C94,Employees!A:J,10,0)*2</f>
        <v>0</v>
      </c>
      <c r="N94" s="24">
        <f t="shared" si="66"/>
        <v>0</v>
      </c>
      <c r="O94" s="25">
        <f>(N94/60)*VLOOKUP(C94,Employees!A:J,10,0)*1.5</f>
        <v>0</v>
      </c>
      <c r="P94" s="23">
        <f>IF(G94="غياب",VLOOKUP(C94,Employees!$A$3:$J$36,9,FALSE()),0)</f>
        <v>0</v>
      </c>
    </row>
    <row r="95" spans="1:16" ht="15" customHeight="1">
      <c r="A95" s="17" t="s">
        <v>70</v>
      </c>
      <c r="B95" s="19" t="s">
        <v>71</v>
      </c>
      <c r="C95" s="19" t="s">
        <v>16</v>
      </c>
      <c r="D95" s="19" t="str">
        <f>VLOOKUP(C95,Employees!A:J,2,0)</f>
        <v>يوسف احمد</v>
      </c>
      <c r="E95" s="20">
        <v>0.39166666666666666</v>
      </c>
      <c r="F95" s="20">
        <v>0.875</v>
      </c>
      <c r="G95" s="21" t="s">
        <v>69</v>
      </c>
      <c r="H95" s="20">
        <v>0.40416666666666667</v>
      </c>
      <c r="I95" s="20">
        <v>0.9</v>
      </c>
      <c r="J95" s="22">
        <f t="shared" si="64"/>
        <v>0</v>
      </c>
      <c r="K95" s="47">
        <f>(J95/60)*VLOOKUP(C95,Employees!A:J,10,0)*1.5</f>
        <v>0</v>
      </c>
      <c r="L95" s="22">
        <f t="shared" si="65"/>
        <v>0</v>
      </c>
      <c r="M95" s="23">
        <f>(L95/60)*VLOOKUP(C95,Employees!A:J,10,0)*2</f>
        <v>0</v>
      </c>
      <c r="N95" s="24">
        <f t="shared" si="66"/>
        <v>36.000000000000028</v>
      </c>
      <c r="O95" s="25">
        <f>(N95/60)*VLOOKUP(C95,Employees!A:J,10,0)*1.5</f>
        <v>19.444444444444457</v>
      </c>
      <c r="P95" s="23">
        <f>IF(G95="غياب",VLOOKUP(C95,Employees!$A$3:$J$36,9,FALSE()),0)</f>
        <v>0</v>
      </c>
    </row>
    <row r="96" spans="1:16" ht="15" customHeight="1">
      <c r="A96" s="17" t="s">
        <v>72</v>
      </c>
      <c r="B96" s="19" t="s">
        <v>73</v>
      </c>
      <c r="C96" s="19" t="s">
        <v>16</v>
      </c>
      <c r="D96" s="19" t="str">
        <f>VLOOKUP(C96,Employees!A:J,2,0)</f>
        <v>يوسف احمد</v>
      </c>
      <c r="E96" s="20">
        <v>0.39583333333333331</v>
      </c>
      <c r="F96" s="20">
        <v>0.875</v>
      </c>
      <c r="G96" s="21" t="s">
        <v>69</v>
      </c>
      <c r="H96" s="20">
        <v>0.41944444444444445</v>
      </c>
      <c r="I96" s="20">
        <v>0.90555555555555556</v>
      </c>
      <c r="J96" s="22">
        <f t="shared" si="64"/>
        <v>0</v>
      </c>
      <c r="K96" s="47">
        <f>(J96/60)*VLOOKUP(C96,Employees!A:J,10,0)*1.5</f>
        <v>0</v>
      </c>
      <c r="L96" s="22">
        <f t="shared" si="65"/>
        <v>34.000000000000064</v>
      </c>
      <c r="M96" s="23">
        <f>(L96/60)*VLOOKUP(C96,Employees!A:J,10,0)*2</f>
        <v>24.485596707818974</v>
      </c>
      <c r="N96" s="24">
        <f t="shared" si="66"/>
        <v>44</v>
      </c>
      <c r="O96" s="25">
        <f>(N96/60)*VLOOKUP(C96,Employees!A:J,10,0)*1.5</f>
        <v>23.765432098765427</v>
      </c>
      <c r="P96" s="23">
        <f>IF(G96="غياب",VLOOKUP(C96,Employees!$A$3:$J$36,9,FALSE()),0)</f>
        <v>0</v>
      </c>
    </row>
    <row r="97" spans="1:16" ht="15" customHeight="1">
      <c r="A97" s="17" t="s">
        <v>74</v>
      </c>
      <c r="B97" s="19" t="s">
        <v>75</v>
      </c>
      <c r="C97" s="19" t="s">
        <v>16</v>
      </c>
      <c r="D97" s="19" t="str">
        <f>VLOOKUP(C97,Employees!A:J,2,0)</f>
        <v>يوسف احمد</v>
      </c>
      <c r="E97" s="20">
        <v>0.38958333333333334</v>
      </c>
      <c r="F97" s="20">
        <v>0.875</v>
      </c>
      <c r="G97" s="21" t="s">
        <v>69</v>
      </c>
      <c r="H97" s="20">
        <v>0.40763888888888888</v>
      </c>
      <c r="I97" s="20">
        <v>0.86319444444444449</v>
      </c>
      <c r="J97" s="22">
        <f t="shared" si="64"/>
        <v>0</v>
      </c>
      <c r="K97" s="47">
        <f>(J97/60)*VLOOKUP(C97,Employees!A:J,10,0)*1.5</f>
        <v>0</v>
      </c>
      <c r="L97" s="22">
        <f t="shared" si="65"/>
        <v>0</v>
      </c>
      <c r="M97" s="23">
        <f>(L97/60)*VLOOKUP(C97,Employees!A:J,10,0)*2</f>
        <v>0</v>
      </c>
      <c r="N97" s="24">
        <f t="shared" si="66"/>
        <v>0</v>
      </c>
      <c r="O97" s="25">
        <f>(N97/60)*VLOOKUP(C97,Employees!A:J,10,0)*1.5</f>
        <v>0</v>
      </c>
      <c r="P97" s="23">
        <f>IF(G97="غياب",VLOOKUP(C97,Employees!$A$3:$J$36,9,FALSE()),0)</f>
        <v>0</v>
      </c>
    </row>
    <row r="98" spans="1:16" ht="15" customHeight="1">
      <c r="A98" s="26" t="s">
        <v>76</v>
      </c>
      <c r="B98" s="28" t="s">
        <v>77</v>
      </c>
      <c r="C98" s="28" t="s">
        <v>16</v>
      </c>
      <c r="D98" s="28" t="str">
        <f>VLOOKUP(C98,Employees!A:J,2,0)</f>
        <v>يوسف احمد</v>
      </c>
      <c r="E98" s="29" t="s">
        <v>78</v>
      </c>
      <c r="F98" s="29" t="s">
        <v>78</v>
      </c>
      <c r="G98" s="27" t="s">
        <v>79</v>
      </c>
      <c r="H98" s="29" t="s">
        <v>78</v>
      </c>
      <c r="I98" s="29" t="s">
        <v>78</v>
      </c>
      <c r="J98" s="22" t="s">
        <v>78</v>
      </c>
      <c r="K98" s="47" t="s">
        <v>78</v>
      </c>
      <c r="L98" s="22" t="s">
        <v>78</v>
      </c>
      <c r="M98" s="23" t="s">
        <v>78</v>
      </c>
      <c r="N98" s="24" t="s">
        <v>78</v>
      </c>
      <c r="O98" s="24" t="s">
        <v>78</v>
      </c>
      <c r="P98" s="23">
        <f>IF(G98="غياب",VLOOKUP(C98,Employees!$A$3:$J$36,9,FALSE()),0)</f>
        <v>0</v>
      </c>
    </row>
    <row r="99" spans="1:16" ht="15" customHeight="1">
      <c r="A99" s="17" t="s">
        <v>80</v>
      </c>
      <c r="B99" s="19" t="s">
        <v>81</v>
      </c>
      <c r="C99" s="19" t="s">
        <v>16</v>
      </c>
      <c r="D99" s="19" t="str">
        <f>VLOOKUP(C99,Employees!A:J,2,0)</f>
        <v>يوسف احمد</v>
      </c>
      <c r="E99" s="20">
        <v>0.40347222222222223</v>
      </c>
      <c r="F99" s="20">
        <v>0.875</v>
      </c>
      <c r="G99" s="21" t="s">
        <v>69</v>
      </c>
      <c r="H99" s="20">
        <v>0.40625</v>
      </c>
      <c r="I99" s="20">
        <v>0.86458333333333337</v>
      </c>
      <c r="J99" s="22">
        <f t="shared" ref="J99:J104" si="67">IF(OR(H99="",G99="غياب",G99="إجازة أسبوعية"),0,
IF(H99&gt;=E99-TIME(0,20,0),0,
IF(H99&gt;=E99-TIME(0,30,0),30,(E99-H99)*1440)))</f>
        <v>0</v>
      </c>
      <c r="K99" s="47">
        <f>(J99/60)*VLOOKUP(C99,Employees!A:J,10,0)*1.5</f>
        <v>0</v>
      </c>
      <c r="L99" s="22">
        <f t="shared" ref="L99:L104" si="68">IF(OR(H99="",G99="غياب",G99="إجازة أسبوعية"),0,
IF(H99&lt;=E99+TIME(0,30,0),0,
30+((H99-(E99+TIME(0,30,0)))*1440)))</f>
        <v>0</v>
      </c>
      <c r="M99" s="23">
        <f>(L99/60)*VLOOKUP(C99,Employees!A:J,10,0)*2</f>
        <v>0</v>
      </c>
      <c r="N99" s="24">
        <f t="shared" ref="N99:N104" si="69">IF(OR(I99="",G99="غياب",G99="إجازة أسبوعية",I99&lt;=F99),0,
IF(MOD(I99-F99,1)&lt;=TIME(0,25,0),0,MAX(0,(I99-F99)*1440)))</f>
        <v>0</v>
      </c>
      <c r="O99" s="25">
        <f>(N99/60)*VLOOKUP(C99,Employees!A:J,10,0)*1.5</f>
        <v>0</v>
      </c>
      <c r="P99" s="23">
        <f>IF(G99="غياب",VLOOKUP(C99,Employees!$A$3:$J$36,9,FALSE()),0)</f>
        <v>0</v>
      </c>
    </row>
    <row r="100" spans="1:16" ht="15" customHeight="1">
      <c r="A100" s="17" t="s">
        <v>82</v>
      </c>
      <c r="B100" s="19" t="s">
        <v>83</v>
      </c>
      <c r="C100" s="19" t="s">
        <v>16</v>
      </c>
      <c r="D100" s="19" t="str">
        <f>VLOOKUP(C100,Employees!A:J,2,0)</f>
        <v>يوسف احمد</v>
      </c>
      <c r="E100" s="20">
        <v>0.39652777777777776</v>
      </c>
      <c r="F100" s="20">
        <v>0.875</v>
      </c>
      <c r="G100" s="21" t="s">
        <v>69</v>
      </c>
      <c r="H100" s="20">
        <v>0.40208333333333335</v>
      </c>
      <c r="I100" s="20">
        <v>0.86250000000000004</v>
      </c>
      <c r="J100" s="22">
        <f t="shared" si="67"/>
        <v>0</v>
      </c>
      <c r="K100" s="47">
        <f>(J100/60)*VLOOKUP(C100,Employees!A:J,10,0)*1.5</f>
        <v>0</v>
      </c>
      <c r="L100" s="22">
        <f t="shared" si="68"/>
        <v>0</v>
      </c>
      <c r="M100" s="23">
        <f>(L100/60)*VLOOKUP(C100,Employees!A:J,10,0)*2</f>
        <v>0</v>
      </c>
      <c r="N100" s="24">
        <f t="shared" si="69"/>
        <v>0</v>
      </c>
      <c r="O100" s="25">
        <f>(N100/60)*VLOOKUP(C100,Employees!A:J,10,0)*1.5</f>
        <v>0</v>
      </c>
      <c r="P100" s="23">
        <f>IF(G100="غياب",VLOOKUP(C100,Employees!$A$3:$J$36,9,FALSE()),0)</f>
        <v>0</v>
      </c>
    </row>
    <row r="101" spans="1:16" ht="15" customHeight="1">
      <c r="A101" s="17" t="s">
        <v>84</v>
      </c>
      <c r="B101" s="19" t="s">
        <v>68</v>
      </c>
      <c r="C101" s="19" t="s">
        <v>16</v>
      </c>
      <c r="D101" s="19" t="str">
        <f>VLOOKUP(C101,Employees!A:J,2,0)</f>
        <v>يوسف احمد</v>
      </c>
      <c r="E101" s="20">
        <v>0.3923611111111111</v>
      </c>
      <c r="F101" s="20">
        <v>0.875</v>
      </c>
      <c r="G101" s="21" t="s">
        <v>69</v>
      </c>
      <c r="H101" s="20">
        <v>0.41736111111111113</v>
      </c>
      <c r="I101" s="20">
        <v>0.86597222222222225</v>
      </c>
      <c r="J101" s="22">
        <f t="shared" si="67"/>
        <v>0</v>
      </c>
      <c r="K101" s="47">
        <f>(J101/60)*VLOOKUP(C101,Employees!A:J,10,0)*1.5</f>
        <v>0</v>
      </c>
      <c r="L101" s="22">
        <f t="shared" si="68"/>
        <v>36.000000000000057</v>
      </c>
      <c r="M101" s="23">
        <f>(L101/60)*VLOOKUP(C101,Employees!A:J,10,0)*2</f>
        <v>25.925925925925966</v>
      </c>
      <c r="N101" s="24">
        <f t="shared" si="69"/>
        <v>0</v>
      </c>
      <c r="O101" s="25">
        <f>(N101/60)*VLOOKUP(C101,Employees!A:J,10,0)*1.5</f>
        <v>0</v>
      </c>
      <c r="P101" s="23">
        <f>IF(G101="غياب",VLOOKUP(C101,Employees!$A$3:$J$36,9,FALSE()),0)</f>
        <v>0</v>
      </c>
    </row>
    <row r="102" spans="1:16" ht="15" customHeight="1">
      <c r="A102" s="17" t="s">
        <v>85</v>
      </c>
      <c r="B102" s="19" t="s">
        <v>71</v>
      </c>
      <c r="C102" s="19" t="s">
        <v>16</v>
      </c>
      <c r="D102" s="19" t="str">
        <f>VLOOKUP(C102,Employees!A:J,2,0)</f>
        <v>يوسف احمد</v>
      </c>
      <c r="E102" s="20">
        <v>0.38819444444444445</v>
      </c>
      <c r="F102" s="20">
        <v>0.875</v>
      </c>
      <c r="G102" s="21" t="s">
        <v>69</v>
      </c>
      <c r="H102" s="20">
        <v>0.40486111111111112</v>
      </c>
      <c r="I102" s="20">
        <v>0.89513888888888893</v>
      </c>
      <c r="J102" s="22">
        <f t="shared" si="67"/>
        <v>0</v>
      </c>
      <c r="K102" s="47">
        <f>(J102/60)*VLOOKUP(C102,Employees!A:J,10,0)*1.5</f>
        <v>0</v>
      </c>
      <c r="L102" s="22">
        <f t="shared" si="68"/>
        <v>0</v>
      </c>
      <c r="M102" s="23">
        <f>(L102/60)*VLOOKUP(C102,Employees!A:J,10,0)*2</f>
        <v>0</v>
      </c>
      <c r="N102" s="24">
        <f t="shared" si="69"/>
        <v>29.000000000000057</v>
      </c>
      <c r="O102" s="25">
        <f>(N102/60)*VLOOKUP(C102,Employees!A:J,10,0)*1.5</f>
        <v>15.663580246913611</v>
      </c>
      <c r="P102" s="23">
        <f>IF(G102="غياب",VLOOKUP(C102,Employees!$A$3:$J$36,9,FALSE()),0)</f>
        <v>0</v>
      </c>
    </row>
    <row r="103" spans="1:16" ht="15" customHeight="1">
      <c r="A103" s="17" t="s">
        <v>86</v>
      </c>
      <c r="B103" s="19" t="s">
        <v>73</v>
      </c>
      <c r="C103" s="19" t="s">
        <v>16</v>
      </c>
      <c r="D103" s="19" t="str">
        <f>VLOOKUP(C103,Employees!A:J,2,0)</f>
        <v>يوسف احمد</v>
      </c>
      <c r="E103" s="20">
        <v>0.40625</v>
      </c>
      <c r="F103" s="20">
        <v>0.875</v>
      </c>
      <c r="G103" s="21" t="s">
        <v>69</v>
      </c>
      <c r="H103" s="20">
        <v>0.42708333333333331</v>
      </c>
      <c r="I103" s="20">
        <v>0.90833333333333333</v>
      </c>
      <c r="J103" s="22">
        <f t="shared" si="67"/>
        <v>0</v>
      </c>
      <c r="K103" s="47">
        <f>(J103/60)*VLOOKUP(C103,Employees!A:J,10,0)*1.5</f>
        <v>0</v>
      </c>
      <c r="L103" s="22">
        <f t="shared" si="68"/>
        <v>0</v>
      </c>
      <c r="M103" s="23">
        <f>(L103/60)*VLOOKUP(C103,Employees!A:J,10,0)*2</f>
        <v>0</v>
      </c>
      <c r="N103" s="24">
        <f t="shared" si="69"/>
        <v>47.999999999999986</v>
      </c>
      <c r="O103" s="25">
        <f>(N103/60)*VLOOKUP(C103,Employees!A:J,10,0)*1.5</f>
        <v>25.925925925925913</v>
      </c>
      <c r="P103" s="23">
        <f>IF(G103="غياب",VLOOKUP(C103,Employees!$A$3:$J$36,9,FALSE()),0)</f>
        <v>0</v>
      </c>
    </row>
    <row r="104" spans="1:16" ht="15" customHeight="1">
      <c r="A104" s="17" t="s">
        <v>87</v>
      </c>
      <c r="B104" s="19" t="s">
        <v>75</v>
      </c>
      <c r="C104" s="19" t="s">
        <v>16</v>
      </c>
      <c r="D104" s="19" t="str">
        <f>VLOOKUP(C104,Employees!A:J,2,0)</f>
        <v>يوسف احمد</v>
      </c>
      <c r="E104" s="20">
        <v>0.39513888888888887</v>
      </c>
      <c r="F104" s="20">
        <v>0.91666666666666696</v>
      </c>
      <c r="G104" s="21" t="s">
        <v>69</v>
      </c>
      <c r="H104" s="20">
        <v>0.41944444444444445</v>
      </c>
      <c r="I104" s="20">
        <v>0.90138888888888891</v>
      </c>
      <c r="J104" s="22">
        <f t="shared" si="67"/>
        <v>0</v>
      </c>
      <c r="K104" s="47">
        <f>(J104/60)*VLOOKUP(C104,Employees!A:J,10,0)*1.5</f>
        <v>0</v>
      </c>
      <c r="L104" s="22">
        <f t="shared" si="68"/>
        <v>35.000000000000064</v>
      </c>
      <c r="M104" s="23">
        <f>(L104/60)*VLOOKUP(C104,Employees!A:J,10,0)*2</f>
        <v>25.205761316872472</v>
      </c>
      <c r="N104" s="24">
        <f t="shared" si="69"/>
        <v>0</v>
      </c>
      <c r="O104" s="25">
        <f>(N104/60)*VLOOKUP(C104,Employees!A:J,10,0)*1.5</f>
        <v>0</v>
      </c>
      <c r="P104" s="23">
        <f>IF(G104="غياب",VLOOKUP(C104,Employees!$A$3:$J$36,9,FALSE()),0)</f>
        <v>0</v>
      </c>
    </row>
    <row r="105" spans="1:16" ht="15" customHeight="1">
      <c r="A105" s="26" t="s">
        <v>88</v>
      </c>
      <c r="B105" s="28" t="s">
        <v>77</v>
      </c>
      <c r="C105" s="28" t="s">
        <v>16</v>
      </c>
      <c r="D105" s="28" t="str">
        <f>VLOOKUP(C105,Employees!A:J,2,0)</f>
        <v>يوسف احمد</v>
      </c>
      <c r="E105" s="29" t="s">
        <v>78</v>
      </c>
      <c r="F105" s="29" t="s">
        <v>78</v>
      </c>
      <c r="G105" s="27" t="s">
        <v>79</v>
      </c>
      <c r="H105" s="29" t="s">
        <v>78</v>
      </c>
      <c r="I105" s="29" t="s">
        <v>78</v>
      </c>
      <c r="J105" s="22" t="s">
        <v>78</v>
      </c>
      <c r="K105" s="47" t="s">
        <v>78</v>
      </c>
      <c r="L105" s="22" t="s">
        <v>78</v>
      </c>
      <c r="M105" s="23" t="s">
        <v>78</v>
      </c>
      <c r="N105" s="24" t="s">
        <v>78</v>
      </c>
      <c r="O105" s="24" t="s">
        <v>78</v>
      </c>
      <c r="P105" s="23">
        <f>IF(G105="غياب",VLOOKUP(C105,Employees!$A$3:$J$36,9,FALSE()),0)</f>
        <v>0</v>
      </c>
    </row>
    <row r="106" spans="1:16" ht="15" customHeight="1">
      <c r="A106" s="26" t="s">
        <v>89</v>
      </c>
      <c r="B106" s="28" t="s">
        <v>81</v>
      </c>
      <c r="C106" s="28" t="s">
        <v>16</v>
      </c>
      <c r="D106" s="28" t="str">
        <f>VLOOKUP(C106,Employees!A:J,2,0)</f>
        <v>يوسف احمد</v>
      </c>
      <c r="E106" s="29" t="s">
        <v>78</v>
      </c>
      <c r="F106" s="29" t="s">
        <v>78</v>
      </c>
      <c r="G106" s="27" t="s">
        <v>79</v>
      </c>
      <c r="H106" s="29" t="s">
        <v>78</v>
      </c>
      <c r="I106" s="29" t="s">
        <v>78</v>
      </c>
      <c r="J106" s="22" t="s">
        <v>78</v>
      </c>
      <c r="K106" s="47" t="s">
        <v>78</v>
      </c>
      <c r="L106" s="22" t="s">
        <v>78</v>
      </c>
      <c r="M106" s="23" t="s">
        <v>78</v>
      </c>
      <c r="N106" s="24" t="s">
        <v>78</v>
      </c>
      <c r="O106" s="24" t="s">
        <v>78</v>
      </c>
      <c r="P106" s="23">
        <f>IF(G106="غياب",VLOOKUP(C106,Employees!$A$3:$J$36,9,FALSE()),0)</f>
        <v>0</v>
      </c>
    </row>
    <row r="107" spans="1:16" ht="15" customHeight="1">
      <c r="A107" s="17" t="s">
        <v>90</v>
      </c>
      <c r="B107" s="19" t="s">
        <v>83</v>
      </c>
      <c r="C107" s="19" t="s">
        <v>16</v>
      </c>
      <c r="D107" s="19" t="str">
        <f>VLOOKUP(C107,Employees!A:J,2,0)</f>
        <v>يوسف احمد</v>
      </c>
      <c r="E107" s="20">
        <v>0.41666666666666702</v>
      </c>
      <c r="F107" s="20">
        <v>0.91666666666666696</v>
      </c>
      <c r="G107" s="21" t="s">
        <v>69</v>
      </c>
      <c r="H107" s="20">
        <v>0.42499999999999999</v>
      </c>
      <c r="I107" s="20">
        <v>0.41458333333333336</v>
      </c>
      <c r="J107" s="22">
        <f t="shared" ref="J107:J111" si="70">IF(OR(H107="",G107="غياب",G107="إجازة أسبوعية"),0,
IF(H107&gt;=E107-TIME(0,20,0),0,
IF(H107&gt;=E107-TIME(0,30,0),30,(E107-H107)*1440)))</f>
        <v>0</v>
      </c>
      <c r="K107" s="47">
        <f>(J107/60)*VLOOKUP(C107,Employees!A:J,10,0)*1.5</f>
        <v>0</v>
      </c>
      <c r="L107" s="22">
        <f t="shared" ref="L107:L111" si="71">IF(OR(H107="",G107="غياب",G107="إجازة أسبوعية"),0,
IF(H107&lt;=E107+TIME(0,30,0),0,
30+((H107-(E107+TIME(0,30,0)))*1440)))</f>
        <v>0</v>
      </c>
      <c r="M107" s="23">
        <f>(L107/60)*VLOOKUP(C107,Employees!A:J,10,0)*2</f>
        <v>0</v>
      </c>
      <c r="N107" s="24">
        <f t="shared" ref="N107:N111" si="72">IF(OR(I107="",G107="غياب",G107="إجازة أسبوعية",I107&lt;=F107),0,
IF(MOD(I107-F107,1)&lt;=TIME(0,25,0),0,MAX(0,(I107-F107)*1440)))</f>
        <v>0</v>
      </c>
      <c r="O107" s="25">
        <f>(N107/60)*VLOOKUP(C107,Employees!A:J,10,0)*1.5</f>
        <v>0</v>
      </c>
      <c r="P107" s="23">
        <f>IF(G107="غياب",VLOOKUP(C107,Employees!$A$3:$J$36,9,FALSE()),0)</f>
        <v>0</v>
      </c>
    </row>
    <row r="108" spans="1:16" ht="15" customHeight="1">
      <c r="A108" s="17" t="s">
        <v>91</v>
      </c>
      <c r="B108" s="19" t="s">
        <v>68</v>
      </c>
      <c r="C108" s="19" t="s">
        <v>16</v>
      </c>
      <c r="D108" s="19" t="str">
        <f>VLOOKUP(C108,Employees!A:J,2,0)</f>
        <v>يوسف احمد</v>
      </c>
      <c r="E108" s="20">
        <v>0.41666666666666702</v>
      </c>
      <c r="F108" s="20">
        <v>0.91666666666666696</v>
      </c>
      <c r="G108" s="21" t="s">
        <v>69</v>
      </c>
      <c r="H108" s="20">
        <v>0.43055555555555558</v>
      </c>
      <c r="I108" s="20">
        <v>0.91527777777777775</v>
      </c>
      <c r="J108" s="22">
        <f t="shared" si="70"/>
        <v>0</v>
      </c>
      <c r="K108" s="47">
        <f>(J108/60)*VLOOKUP(C108,Employees!A:J,10,0)*1.5</f>
        <v>0</v>
      </c>
      <c r="L108" s="22">
        <f t="shared" si="71"/>
        <v>0</v>
      </c>
      <c r="M108" s="23">
        <f>(L108/60)*VLOOKUP(C108,Employees!A:J,10,0)*2</f>
        <v>0</v>
      </c>
      <c r="N108" s="24">
        <f t="shared" si="72"/>
        <v>0</v>
      </c>
      <c r="O108" s="25">
        <f>(N108/60)*VLOOKUP(C108,Employees!A:J,10,0)*1.5</f>
        <v>0</v>
      </c>
      <c r="P108" s="23">
        <f>IF(G108="غياب",VLOOKUP(C108,Employees!$A$3:$J$36,9,FALSE()),0)</f>
        <v>0</v>
      </c>
    </row>
    <row r="109" spans="1:16" ht="15" customHeight="1">
      <c r="A109" s="17" t="s">
        <v>92</v>
      </c>
      <c r="B109" s="19" t="s">
        <v>71</v>
      </c>
      <c r="C109" s="19" t="s">
        <v>16</v>
      </c>
      <c r="D109" s="19" t="str">
        <f>VLOOKUP(C109,Employees!A:J,2,0)</f>
        <v>يوسف احمد</v>
      </c>
      <c r="E109" s="20">
        <v>0.41666666666666702</v>
      </c>
      <c r="F109" s="20">
        <v>0.91666666666666696</v>
      </c>
      <c r="G109" s="21" t="s">
        <v>69</v>
      </c>
      <c r="H109" s="20">
        <v>0.41180555555555554</v>
      </c>
      <c r="I109" s="20">
        <v>0.90833333333333333</v>
      </c>
      <c r="J109" s="22">
        <f t="shared" si="70"/>
        <v>0</v>
      </c>
      <c r="K109" s="47">
        <f>(J109/60)*VLOOKUP(C109,Employees!A:J,10,0)*1.5</f>
        <v>0</v>
      </c>
      <c r="L109" s="22">
        <f t="shared" si="71"/>
        <v>0</v>
      </c>
      <c r="M109" s="23">
        <f>(L109/60)*VLOOKUP(C109,Employees!A:J,10,0)*2</f>
        <v>0</v>
      </c>
      <c r="N109" s="24">
        <f t="shared" si="72"/>
        <v>0</v>
      </c>
      <c r="O109" s="25">
        <f>(N109/60)*VLOOKUP(C109,Employees!A:J,10,0)*1.5</f>
        <v>0</v>
      </c>
      <c r="P109" s="23">
        <f>IF(G109="غياب",VLOOKUP(C109,Employees!$A$3:$J$36,9,FALSE()),0)</f>
        <v>0</v>
      </c>
    </row>
    <row r="110" spans="1:16" ht="15" customHeight="1">
      <c r="A110" s="17" t="s">
        <v>93</v>
      </c>
      <c r="B110" s="19" t="s">
        <v>73</v>
      </c>
      <c r="C110" s="19" t="s">
        <v>16</v>
      </c>
      <c r="D110" s="19" t="str">
        <f>VLOOKUP(C110,Employees!A:J,2,0)</f>
        <v>يوسف احمد</v>
      </c>
      <c r="E110" s="20">
        <v>0.42916666666666664</v>
      </c>
      <c r="F110" s="20">
        <v>0.91666666666666696</v>
      </c>
      <c r="G110" s="21" t="s">
        <v>69</v>
      </c>
      <c r="H110" s="20">
        <v>0.43194444444444446</v>
      </c>
      <c r="I110" s="20">
        <v>0.91319444444444442</v>
      </c>
      <c r="J110" s="22">
        <f t="shared" si="70"/>
        <v>0</v>
      </c>
      <c r="K110" s="47">
        <f>(J110/60)*VLOOKUP(C110,Employees!A:J,10,0)*1.5</f>
        <v>0</v>
      </c>
      <c r="L110" s="22">
        <f t="shared" si="71"/>
        <v>0</v>
      </c>
      <c r="M110" s="23">
        <f>(L110/60)*VLOOKUP(C110,Employees!A:J,10,0)*2</f>
        <v>0</v>
      </c>
      <c r="N110" s="24">
        <f t="shared" si="72"/>
        <v>0</v>
      </c>
      <c r="O110" s="25">
        <f>(N110/60)*VLOOKUP(C110,Employees!A:J,10,0)*1.5</f>
        <v>0</v>
      </c>
      <c r="P110" s="23">
        <f>IF(G110="غياب",VLOOKUP(C110,Employees!$A$3:$J$36,9,FALSE()),0)</f>
        <v>0</v>
      </c>
    </row>
    <row r="111" spans="1:16" ht="15" customHeight="1">
      <c r="A111" s="17" t="s">
        <v>94</v>
      </c>
      <c r="B111" s="19" t="s">
        <v>75</v>
      </c>
      <c r="C111" s="19" t="s">
        <v>16</v>
      </c>
      <c r="D111" s="19" t="str">
        <f>VLOOKUP(C111,Employees!A:J,2,0)</f>
        <v>يوسف احمد</v>
      </c>
      <c r="E111" s="20">
        <v>0.41805555555555557</v>
      </c>
      <c r="F111" s="20">
        <v>0.91666666666666696</v>
      </c>
      <c r="G111" s="21" t="s">
        <v>69</v>
      </c>
      <c r="H111" s="20">
        <v>0.43263888888888891</v>
      </c>
      <c r="I111" s="20">
        <v>0.92500000000000004</v>
      </c>
      <c r="J111" s="22">
        <f t="shared" si="70"/>
        <v>0</v>
      </c>
      <c r="K111" s="47">
        <f>(J111/60)*VLOOKUP(C111,Employees!A:J,10,0)*1.5</f>
        <v>0</v>
      </c>
      <c r="L111" s="22">
        <f t="shared" si="71"/>
        <v>0</v>
      </c>
      <c r="M111" s="23">
        <f>(L111/60)*VLOOKUP(C111,Employees!A:J,10,0)*2</f>
        <v>0</v>
      </c>
      <c r="N111" s="24">
        <f t="shared" si="72"/>
        <v>0</v>
      </c>
      <c r="O111" s="25">
        <f>(N111/60)*VLOOKUP(C111,Employees!A:J,10,0)*1.5</f>
        <v>0</v>
      </c>
      <c r="P111" s="23">
        <f>IF(G111="غياب",VLOOKUP(C111,Employees!$A$3:$J$36,9,FALSE()),0)</f>
        <v>0</v>
      </c>
    </row>
    <row r="112" spans="1:16" ht="15" customHeight="1">
      <c r="A112" s="26" t="s">
        <v>95</v>
      </c>
      <c r="B112" s="28" t="s">
        <v>77</v>
      </c>
      <c r="C112" s="28" t="s">
        <v>16</v>
      </c>
      <c r="D112" s="28" t="str">
        <f>VLOOKUP(C112,Employees!A:J,2,0)</f>
        <v>يوسف احمد</v>
      </c>
      <c r="E112" s="29" t="s">
        <v>78</v>
      </c>
      <c r="F112" s="29" t="s">
        <v>78</v>
      </c>
      <c r="G112" s="27" t="s">
        <v>79</v>
      </c>
      <c r="H112" s="29" t="s">
        <v>78</v>
      </c>
      <c r="I112" s="29" t="s">
        <v>78</v>
      </c>
      <c r="J112" s="22" t="s">
        <v>78</v>
      </c>
      <c r="K112" s="47" t="s">
        <v>78</v>
      </c>
      <c r="L112" s="22" t="s">
        <v>78</v>
      </c>
      <c r="M112" s="23" t="s">
        <v>78</v>
      </c>
      <c r="N112" s="24" t="s">
        <v>78</v>
      </c>
      <c r="O112" s="24" t="s">
        <v>78</v>
      </c>
      <c r="P112" s="23">
        <f>IF(G112="غياب",VLOOKUP(C112,Employees!$A$3:$J$36,9,FALSE()),0)</f>
        <v>0</v>
      </c>
    </row>
    <row r="113" spans="1:16" ht="15" customHeight="1">
      <c r="A113" s="17" t="s">
        <v>96</v>
      </c>
      <c r="B113" s="19" t="s">
        <v>81</v>
      </c>
      <c r="C113" s="19" t="s">
        <v>16</v>
      </c>
      <c r="D113" s="19" t="str">
        <f>VLOOKUP(C113,Employees!A:J,2,0)</f>
        <v>يوسف احمد</v>
      </c>
      <c r="E113" s="20">
        <v>0.42152777777777778</v>
      </c>
      <c r="F113" s="20">
        <v>0.91666666666666696</v>
      </c>
      <c r="G113" s="21" t="s">
        <v>69</v>
      </c>
      <c r="H113" s="20">
        <v>0.42222222222222222</v>
      </c>
      <c r="I113" s="20">
        <v>0.91805555555555551</v>
      </c>
      <c r="J113" s="22">
        <f t="shared" ref="J113:J118" si="73">IF(OR(H113="",G113="غياب",G113="إجازة أسبوعية"),0,
IF(H113&gt;=E113-TIME(0,20,0),0,
IF(H113&gt;=E113-TIME(0,30,0),30,(E113-H113)*1440)))</f>
        <v>0</v>
      </c>
      <c r="K113" s="47">
        <f>(J113/60)*VLOOKUP(C113,Employees!A:J,10,0)*1.5</f>
        <v>0</v>
      </c>
      <c r="L113" s="22">
        <f t="shared" ref="L113:L118" si="74">IF(OR(H113="",G113="غياب",G113="إجازة أسبوعية"),0,
IF(H113&lt;=E113+TIME(0,30,0),0,
30+((H113-(E113+TIME(0,30,0)))*1440)))</f>
        <v>0</v>
      </c>
      <c r="M113" s="23">
        <f>(L113/60)*VLOOKUP(C113,Employees!A:J,10,0)*2</f>
        <v>0</v>
      </c>
      <c r="N113" s="24">
        <f t="shared" ref="N113:N118" si="75">IF(OR(I113="",G113="غياب",G113="إجازة أسبوعية",I113&lt;=F113),0,
IF(MOD(I113-F113,1)&lt;=TIME(0,25,0),0,MAX(0,(I113-F113)*1440)))</f>
        <v>0</v>
      </c>
      <c r="O113" s="25">
        <f>(N113/60)*VLOOKUP(C113,Employees!A:J,10,0)*1.5</f>
        <v>0</v>
      </c>
      <c r="P113" s="23">
        <f>IF(G113="غياب",VLOOKUP(C113,Employees!$A$3:$J$36,9,FALSE()),0)</f>
        <v>0</v>
      </c>
    </row>
    <row r="114" spans="1:16" ht="15" customHeight="1">
      <c r="A114" s="17" t="s">
        <v>97</v>
      </c>
      <c r="B114" s="19" t="s">
        <v>83</v>
      </c>
      <c r="C114" s="19" t="s">
        <v>16</v>
      </c>
      <c r="D114" s="19" t="str">
        <f>VLOOKUP(C114,Employees!A:J,2,0)</f>
        <v>يوسف احمد</v>
      </c>
      <c r="E114" s="20">
        <v>0.43055555555555558</v>
      </c>
      <c r="F114" s="20">
        <v>0.91666666666666696</v>
      </c>
      <c r="G114" s="21" t="s">
        <v>69</v>
      </c>
      <c r="H114" s="20">
        <v>0.43194444444444446</v>
      </c>
      <c r="I114" s="20">
        <v>0.91388888888888886</v>
      </c>
      <c r="J114" s="22">
        <f t="shared" si="73"/>
        <v>0</v>
      </c>
      <c r="K114" s="47">
        <f>(J114/60)*VLOOKUP(C114,Employees!A:J,10,0)*1.5</f>
        <v>0</v>
      </c>
      <c r="L114" s="22">
        <f t="shared" si="74"/>
        <v>0</v>
      </c>
      <c r="M114" s="23">
        <f>(L114/60)*VLOOKUP(C114,Employees!A:J,10,0)*2</f>
        <v>0</v>
      </c>
      <c r="N114" s="24">
        <f t="shared" si="75"/>
        <v>0</v>
      </c>
      <c r="O114" s="25">
        <f>(N114/60)*VLOOKUP(C114,Employees!A:J,10,0)*1.5</f>
        <v>0</v>
      </c>
      <c r="P114" s="23">
        <f>IF(G114="غياب",VLOOKUP(C114,Employees!$A$3:$J$36,9,FALSE()),0)</f>
        <v>0</v>
      </c>
    </row>
    <row r="115" spans="1:16" ht="15" customHeight="1">
      <c r="A115" s="17" t="s">
        <v>98</v>
      </c>
      <c r="B115" s="19" t="s">
        <v>68</v>
      </c>
      <c r="C115" s="19" t="s">
        <v>16</v>
      </c>
      <c r="D115" s="19" t="str">
        <f>VLOOKUP(C115,Employees!A:J,2,0)</f>
        <v>يوسف احمد</v>
      </c>
      <c r="E115" s="20">
        <v>0.4236111111111111</v>
      </c>
      <c r="F115" s="20">
        <v>0.91666666666666696</v>
      </c>
      <c r="G115" s="21" t="s">
        <v>69</v>
      </c>
      <c r="H115" s="20">
        <v>0.43194444444444446</v>
      </c>
      <c r="I115" s="20">
        <v>0.91666666666666663</v>
      </c>
      <c r="J115" s="22">
        <f t="shared" si="73"/>
        <v>0</v>
      </c>
      <c r="K115" s="47">
        <f>(J115/60)*VLOOKUP(C115,Employees!A:J,10,0)*1.5</f>
        <v>0</v>
      </c>
      <c r="L115" s="22">
        <f t="shared" si="74"/>
        <v>0</v>
      </c>
      <c r="M115" s="23">
        <f>(L115/60)*VLOOKUP(C115,Employees!A:J,10,0)*2</f>
        <v>0</v>
      </c>
      <c r="N115" s="24">
        <f t="shared" si="75"/>
        <v>0</v>
      </c>
      <c r="O115" s="25">
        <f>(N115/60)*VLOOKUP(C115,Employees!A:J,10,0)*1.5</f>
        <v>0</v>
      </c>
      <c r="P115" s="23">
        <f>IF(G115="غياب",VLOOKUP(C115,Employees!$A$3:$J$36,9,FALSE()),0)</f>
        <v>0</v>
      </c>
    </row>
    <row r="116" spans="1:16" ht="15" customHeight="1">
      <c r="A116" s="17" t="s">
        <v>99</v>
      </c>
      <c r="B116" s="19" t="s">
        <v>71</v>
      </c>
      <c r="C116" s="19" t="s">
        <v>16</v>
      </c>
      <c r="D116" s="19" t="str">
        <f>VLOOKUP(C116,Employees!A:J,2,0)</f>
        <v>يوسف احمد</v>
      </c>
      <c r="E116" s="20">
        <v>0.42430555555555555</v>
      </c>
      <c r="F116" s="20">
        <v>0.91666666666666696</v>
      </c>
      <c r="G116" s="21" t="s">
        <v>69</v>
      </c>
      <c r="H116" s="20">
        <v>0.42430555555555555</v>
      </c>
      <c r="I116" s="20">
        <v>0.91319444444444442</v>
      </c>
      <c r="J116" s="22">
        <f t="shared" si="73"/>
        <v>0</v>
      </c>
      <c r="K116" s="47">
        <f>(J116/60)*VLOOKUP(C116,Employees!A:J,10,0)*1.5</f>
        <v>0</v>
      </c>
      <c r="L116" s="22">
        <f t="shared" si="74"/>
        <v>0</v>
      </c>
      <c r="M116" s="23">
        <f>(L116/60)*VLOOKUP(C116,Employees!A:J,10,0)*2</f>
        <v>0</v>
      </c>
      <c r="N116" s="24">
        <f t="shared" si="75"/>
        <v>0</v>
      </c>
      <c r="O116" s="25">
        <f>(N116/60)*VLOOKUP(C116,Employees!A:J,10,0)*1.5</f>
        <v>0</v>
      </c>
      <c r="P116" s="23">
        <f>IF(G116="غياب",VLOOKUP(C116,Employees!$A$3:$J$36,9,FALSE()),0)</f>
        <v>0</v>
      </c>
    </row>
    <row r="117" spans="1:16" ht="15" customHeight="1">
      <c r="A117" s="17" t="s">
        <v>100</v>
      </c>
      <c r="B117" s="19" t="s">
        <v>73</v>
      </c>
      <c r="C117" s="19" t="s">
        <v>16</v>
      </c>
      <c r="D117" s="19" t="str">
        <f>VLOOKUP(C117,Employees!A:J,2,0)</f>
        <v>يوسف احمد</v>
      </c>
      <c r="E117" s="20">
        <v>0.40069444444444446</v>
      </c>
      <c r="F117" s="30">
        <v>0.875</v>
      </c>
      <c r="G117" s="21" t="s">
        <v>69</v>
      </c>
      <c r="H117" s="20">
        <v>0.40138888888888891</v>
      </c>
      <c r="I117" s="20">
        <v>0.87708333333333333</v>
      </c>
      <c r="J117" s="22">
        <f t="shared" si="73"/>
        <v>0</v>
      </c>
      <c r="K117" s="47">
        <f>(J117/60)*VLOOKUP(C117,Employees!A:J,10,0)*1.5</f>
        <v>0</v>
      </c>
      <c r="L117" s="22">
        <f t="shared" si="74"/>
        <v>0</v>
      </c>
      <c r="M117" s="23">
        <f>(L117/60)*VLOOKUP(C117,Employees!A:J,10,0)*2</f>
        <v>0</v>
      </c>
      <c r="N117" s="24">
        <f t="shared" si="75"/>
        <v>0</v>
      </c>
      <c r="O117" s="25">
        <f>(N117/60)*VLOOKUP(C117,Employees!A:J,10,0)*1.5</f>
        <v>0</v>
      </c>
      <c r="P117" s="23">
        <f>IF(G117="غياب",VLOOKUP(C117,Employees!$A$3:$J$36,9,FALSE()),0)</f>
        <v>0</v>
      </c>
    </row>
    <row r="118" spans="1:16" ht="15" customHeight="1">
      <c r="A118" s="17" t="s">
        <v>101</v>
      </c>
      <c r="B118" s="19" t="s">
        <v>75</v>
      </c>
      <c r="C118" s="19" t="s">
        <v>16</v>
      </c>
      <c r="D118" s="19" t="str">
        <f>VLOOKUP(C118,Employees!A:J,2,0)</f>
        <v>يوسف احمد</v>
      </c>
      <c r="E118" s="20">
        <v>0.375</v>
      </c>
      <c r="F118" s="30">
        <v>0.875</v>
      </c>
      <c r="G118" s="21" t="s">
        <v>69</v>
      </c>
      <c r="H118" s="20">
        <v>0.39583333333333331</v>
      </c>
      <c r="I118" s="20">
        <v>0.90069444444444446</v>
      </c>
      <c r="J118" s="22">
        <f t="shared" si="73"/>
        <v>0</v>
      </c>
      <c r="K118" s="47">
        <f>(J118/60)*VLOOKUP(C118,Employees!A:J,10,0)*1.5</f>
        <v>0</v>
      </c>
      <c r="L118" s="22">
        <f t="shared" si="74"/>
        <v>0</v>
      </c>
      <c r="M118" s="23">
        <f>(L118/60)*VLOOKUP(C118,Employees!A:J,10,0)*2</f>
        <v>0</v>
      </c>
      <c r="N118" s="24">
        <f t="shared" si="75"/>
        <v>37.000000000000028</v>
      </c>
      <c r="O118" s="25">
        <f>(N118/60)*VLOOKUP(C118,Employees!A:J,10,0)*1.5</f>
        <v>19.984567901234584</v>
      </c>
      <c r="P118" s="23">
        <f>IF(G118="غياب",VLOOKUP(C118,Employees!$A$3:$J$36,9,FALSE()),0)</f>
        <v>0</v>
      </c>
    </row>
    <row r="119" spans="1:16" ht="15" customHeight="1">
      <c r="A119" s="26" t="s">
        <v>102</v>
      </c>
      <c r="B119" s="28" t="s">
        <v>77</v>
      </c>
      <c r="C119" s="28" t="s">
        <v>16</v>
      </c>
      <c r="D119" s="28" t="str">
        <f>VLOOKUP(C119,Employees!A:J,2,0)</f>
        <v>يوسف احمد</v>
      </c>
      <c r="E119" s="29" t="s">
        <v>78</v>
      </c>
      <c r="F119" s="29" t="s">
        <v>78</v>
      </c>
      <c r="G119" s="27" t="s">
        <v>79</v>
      </c>
      <c r="H119" s="29" t="s">
        <v>78</v>
      </c>
      <c r="I119" s="29" t="s">
        <v>78</v>
      </c>
      <c r="J119" s="22" t="s">
        <v>78</v>
      </c>
      <c r="K119" s="47" t="s">
        <v>78</v>
      </c>
      <c r="L119" s="22" t="s">
        <v>78</v>
      </c>
      <c r="M119" s="23" t="s">
        <v>78</v>
      </c>
      <c r="N119" s="24" t="s">
        <v>78</v>
      </c>
      <c r="O119" s="24" t="s">
        <v>78</v>
      </c>
      <c r="P119" s="23">
        <f>IF(G119="غياب",VLOOKUP(C119,Employees!$A$3:$J$36,9,FALSE()),0)</f>
        <v>0</v>
      </c>
    </row>
    <row r="120" spans="1:16" ht="15" customHeight="1">
      <c r="A120" s="17" t="s">
        <v>103</v>
      </c>
      <c r="B120" s="19" t="s">
        <v>81</v>
      </c>
      <c r="C120" s="19" t="s">
        <v>16</v>
      </c>
      <c r="D120" s="19" t="str">
        <f>VLOOKUP(C120,Employees!A:J,2,0)</f>
        <v>يوسف احمد</v>
      </c>
      <c r="E120" s="20">
        <v>0.40694444444444444</v>
      </c>
      <c r="F120" s="30">
        <v>0.875</v>
      </c>
      <c r="G120" s="21" t="s">
        <v>69</v>
      </c>
      <c r="H120" s="20">
        <v>0.40763888888888888</v>
      </c>
      <c r="I120" s="20">
        <v>0.89027777777777772</v>
      </c>
      <c r="J120" s="22">
        <f t="shared" ref="J120:J125" si="76">IF(OR(H120="",G120="غياب",G120="إجازة أسبوعية"),0,
IF(H120&gt;=E120-TIME(0,20,0),0,
IF(H120&gt;=E120-TIME(0,30,0),30,(E120-H120)*1440)))</f>
        <v>0</v>
      </c>
      <c r="K120" s="47">
        <f>(J120/60)*VLOOKUP(C120,Employees!A:J,10,0)*1.5</f>
        <v>0</v>
      </c>
      <c r="L120" s="22">
        <f t="shared" ref="L120:L125" si="77">IF(OR(H120="",G120="غياب",G120="إجازة أسبوعية"),0,
IF(H120&lt;=E120+TIME(0,30,0),0,
30+((H120-(E120+TIME(0,30,0)))*1440)))</f>
        <v>0</v>
      </c>
      <c r="M120" s="23">
        <f>(L120/60)*VLOOKUP(C120,Employees!A:J,10,0)*2</f>
        <v>0</v>
      </c>
      <c r="N120" s="24">
        <f t="shared" ref="N120:N125" si="78">IF(OR(I120="",G120="غياب",G120="إجازة أسبوعية",I120&lt;=F120),0,
IF(MOD(I120-F120,1)&lt;=TIME(0,25,0),0,MAX(0,(I120-F120)*1440)))</f>
        <v>0</v>
      </c>
      <c r="O120" s="25">
        <f>(N120/60)*VLOOKUP(C120,Employees!A:J,10,0)*1.5</f>
        <v>0</v>
      </c>
      <c r="P120" s="23">
        <f>IF(G120="غياب",VLOOKUP(C120,Employees!$A$3:$J$36,9,FALSE()),0)</f>
        <v>0</v>
      </c>
    </row>
    <row r="121" spans="1:16" ht="15" customHeight="1">
      <c r="A121" s="17" t="s">
        <v>104</v>
      </c>
      <c r="B121" s="19" t="s">
        <v>83</v>
      </c>
      <c r="C121" s="19" t="s">
        <v>16</v>
      </c>
      <c r="D121" s="19" t="str">
        <f>VLOOKUP(C121,Employees!A:J,2,0)</f>
        <v>يوسف احمد</v>
      </c>
      <c r="E121" s="20">
        <v>0.38541666666666669</v>
      </c>
      <c r="F121" s="30">
        <v>0.875</v>
      </c>
      <c r="G121" s="21" t="s">
        <v>69</v>
      </c>
      <c r="H121" s="20">
        <v>0.39374999999999999</v>
      </c>
      <c r="I121" s="20">
        <v>0.88472222222222219</v>
      </c>
      <c r="J121" s="22">
        <f t="shared" si="76"/>
        <v>0</v>
      </c>
      <c r="K121" s="47">
        <f>(J121/60)*VLOOKUP(C121,Employees!A:J,10,0)*1.5</f>
        <v>0</v>
      </c>
      <c r="L121" s="22">
        <f t="shared" si="77"/>
        <v>0</v>
      </c>
      <c r="M121" s="23">
        <f>(L121/60)*VLOOKUP(C121,Employees!A:J,10,0)*2</f>
        <v>0</v>
      </c>
      <c r="N121" s="24">
        <f t="shared" si="78"/>
        <v>0</v>
      </c>
      <c r="O121" s="25">
        <f>(N121/60)*VLOOKUP(C121,Employees!A:J,10,0)*1.5</f>
        <v>0</v>
      </c>
      <c r="P121" s="23">
        <f>IF(G121="غياب",VLOOKUP(C121,Employees!$A$3:$J$36,9,FALSE()),0)</f>
        <v>0</v>
      </c>
    </row>
    <row r="122" spans="1:16" ht="15" customHeight="1">
      <c r="A122" s="17" t="s">
        <v>105</v>
      </c>
      <c r="B122" s="19" t="s">
        <v>68</v>
      </c>
      <c r="C122" s="19" t="s">
        <v>16</v>
      </c>
      <c r="D122" s="19" t="str">
        <f>VLOOKUP(C122,Employees!A:J,2,0)</f>
        <v>يوسف احمد</v>
      </c>
      <c r="E122" s="20">
        <v>0.3840277777777778</v>
      </c>
      <c r="F122" s="30">
        <v>0.875</v>
      </c>
      <c r="G122" s="21" t="s">
        <v>69</v>
      </c>
      <c r="H122" s="20">
        <v>0.4</v>
      </c>
      <c r="I122" s="20">
        <v>0.88472222222222219</v>
      </c>
      <c r="J122" s="22">
        <f t="shared" si="76"/>
        <v>0</v>
      </c>
      <c r="K122" s="47">
        <f>(J122/60)*VLOOKUP(C122,Employees!A:J,10,0)*1.5</f>
        <v>0</v>
      </c>
      <c r="L122" s="22">
        <f t="shared" si="77"/>
        <v>0</v>
      </c>
      <c r="M122" s="23">
        <f>(L122/60)*VLOOKUP(C122,Employees!A:J,10,0)*2</f>
        <v>0</v>
      </c>
      <c r="N122" s="24">
        <f t="shared" si="78"/>
        <v>0</v>
      </c>
      <c r="O122" s="25">
        <f>(N122/60)*VLOOKUP(C122,Employees!A:J,10,0)*1.5</f>
        <v>0</v>
      </c>
      <c r="P122" s="23">
        <f>IF(G122="غياب",VLOOKUP(C122,Employees!$A$3:$J$36,9,FALSE()),0)</f>
        <v>0</v>
      </c>
    </row>
    <row r="123" spans="1:16" ht="15" customHeight="1">
      <c r="A123" s="17" t="s">
        <v>106</v>
      </c>
      <c r="B123" s="19" t="s">
        <v>71</v>
      </c>
      <c r="C123" s="19" t="s">
        <v>16</v>
      </c>
      <c r="D123" s="19" t="str">
        <f>VLOOKUP(C123,Employees!A:J,2,0)</f>
        <v>يوسف احمد</v>
      </c>
      <c r="E123" s="20">
        <v>0.37986111111111109</v>
      </c>
      <c r="F123" s="30">
        <v>0.875</v>
      </c>
      <c r="G123" s="21" t="s">
        <v>69</v>
      </c>
      <c r="H123" s="20">
        <v>0.39166666666666666</v>
      </c>
      <c r="I123" s="20">
        <v>0.88124999999999998</v>
      </c>
      <c r="J123" s="22">
        <f t="shared" si="76"/>
        <v>0</v>
      </c>
      <c r="K123" s="47">
        <f>(J123/60)*VLOOKUP(C123,Employees!A:J,10,0)*1.5</f>
        <v>0</v>
      </c>
      <c r="L123" s="22">
        <f t="shared" si="77"/>
        <v>0</v>
      </c>
      <c r="M123" s="23">
        <f>(L123/60)*VLOOKUP(C123,Employees!A:J,10,0)*2</f>
        <v>0</v>
      </c>
      <c r="N123" s="24">
        <f t="shared" si="78"/>
        <v>0</v>
      </c>
      <c r="O123" s="25">
        <f>(N123/60)*VLOOKUP(C123,Employees!A:J,10,0)*1.5</f>
        <v>0</v>
      </c>
      <c r="P123" s="23">
        <f>IF(G123="غياب",VLOOKUP(C123,Employees!$A$3:$J$36,9,FALSE()),0)</f>
        <v>0</v>
      </c>
    </row>
    <row r="124" spans="1:16" ht="15" customHeight="1">
      <c r="A124" s="17" t="s">
        <v>67</v>
      </c>
      <c r="B124" s="19" t="s">
        <v>68</v>
      </c>
      <c r="C124" s="19" t="s">
        <v>17</v>
      </c>
      <c r="D124" s="19" t="str">
        <f>VLOOKUP(C124,Employees!A:J,2,0)</f>
        <v>محمد السيد</v>
      </c>
      <c r="E124" s="20">
        <v>0.39791666666666664</v>
      </c>
      <c r="F124" s="20">
        <v>0.875</v>
      </c>
      <c r="G124" s="21" t="s">
        <v>69</v>
      </c>
      <c r="H124" s="20">
        <v>0.42152777777777778</v>
      </c>
      <c r="I124" s="20">
        <v>0.86388888888888893</v>
      </c>
      <c r="J124" s="22">
        <f t="shared" si="76"/>
        <v>0</v>
      </c>
      <c r="K124" s="47">
        <f>(J124/60)*VLOOKUP(C124,Employees!A:J,10,0)*1.5</f>
        <v>0</v>
      </c>
      <c r="L124" s="22">
        <f t="shared" si="77"/>
        <v>34.000000000000064</v>
      </c>
      <c r="M124" s="23">
        <f>(L124/60)*VLOOKUP(C124,Employees!A:J,10,0)*2</f>
        <v>24.485596707818974</v>
      </c>
      <c r="N124" s="24">
        <f t="shared" si="78"/>
        <v>0</v>
      </c>
      <c r="O124" s="25">
        <f>(N124/60)*VLOOKUP(C124,Employees!A:J,10,0)*1.5</f>
        <v>0</v>
      </c>
      <c r="P124" s="23">
        <f>IF(G124="غياب",VLOOKUP(C124,Employees!$A$3:$J$36,9,FALSE()),0)</f>
        <v>0</v>
      </c>
    </row>
    <row r="125" spans="1:16" ht="15" customHeight="1">
      <c r="A125" s="17" t="s">
        <v>70</v>
      </c>
      <c r="B125" s="19" t="s">
        <v>71</v>
      </c>
      <c r="C125" s="19" t="s">
        <v>17</v>
      </c>
      <c r="D125" s="19" t="str">
        <f>VLOOKUP(C125,Employees!A:J,2,0)</f>
        <v>محمد السيد</v>
      </c>
      <c r="E125" s="20">
        <v>0.39166666666666666</v>
      </c>
      <c r="F125" s="20">
        <v>0.875</v>
      </c>
      <c r="G125" s="21" t="s">
        <v>69</v>
      </c>
      <c r="H125" s="20">
        <v>0.41458333333333336</v>
      </c>
      <c r="I125" s="20">
        <v>0.90069444444444446</v>
      </c>
      <c r="J125" s="22">
        <f t="shared" si="76"/>
        <v>0</v>
      </c>
      <c r="K125" s="47">
        <f>(J125/60)*VLOOKUP(C125,Employees!A:J,10,0)*1.5</f>
        <v>0</v>
      </c>
      <c r="L125" s="22">
        <f t="shared" si="77"/>
        <v>33.000000000000071</v>
      </c>
      <c r="M125" s="23">
        <f>(L125/60)*VLOOKUP(C125,Employees!A:J,10,0)*2</f>
        <v>23.76543209876548</v>
      </c>
      <c r="N125" s="24">
        <f t="shared" si="78"/>
        <v>37.000000000000028</v>
      </c>
      <c r="O125" s="25">
        <f>(N125/60)*VLOOKUP(C125,Employees!A:J,10,0)*1.5</f>
        <v>19.984567901234584</v>
      </c>
      <c r="P125" s="23">
        <f>IF(G125="غياب",VLOOKUP(C125,Employees!$A$3:$J$36,9,FALSE()),0)</f>
        <v>0</v>
      </c>
    </row>
    <row r="126" spans="1:16" ht="15" customHeight="1">
      <c r="A126" s="48" t="s">
        <v>72</v>
      </c>
      <c r="B126" s="49" t="s">
        <v>73</v>
      </c>
      <c r="C126" s="49" t="s">
        <v>17</v>
      </c>
      <c r="D126" s="49" t="str">
        <f>VLOOKUP(C126,Employees!A:J,2,0)</f>
        <v>محمد السيد</v>
      </c>
      <c r="E126" s="50">
        <v>0.375</v>
      </c>
      <c r="F126" s="50">
        <v>0.875</v>
      </c>
      <c r="G126" s="51" t="s">
        <v>130</v>
      </c>
      <c r="H126" s="52" t="s">
        <v>78</v>
      </c>
      <c r="I126" s="52" t="s">
        <v>78</v>
      </c>
      <c r="J126" s="22">
        <f t="shared" si="57"/>
        <v>0</v>
      </c>
      <c r="K126" s="47">
        <f>(J126/60)*VLOOKUP(C126,Employees!A:J,10,0)*1.5</f>
        <v>0</v>
      </c>
      <c r="L126" s="22" t="s">
        <v>78</v>
      </c>
      <c r="M126" s="23" t="s">
        <v>78</v>
      </c>
      <c r="N126" s="24" t="s">
        <v>78</v>
      </c>
      <c r="O126" s="25" t="s">
        <v>78</v>
      </c>
      <c r="P126" s="23">
        <f>IF(G126="غياب",VLOOKUP(C126,Employees!$A$3:$J$36,9,FALSE()),0)</f>
        <v>259.25925925925924</v>
      </c>
    </row>
    <row r="127" spans="1:16" ht="15" customHeight="1">
      <c r="A127" s="17" t="s">
        <v>74</v>
      </c>
      <c r="B127" s="19" t="s">
        <v>75</v>
      </c>
      <c r="C127" s="19" t="s">
        <v>17</v>
      </c>
      <c r="D127" s="19" t="str">
        <f>VLOOKUP(C127,Employees!A:J,2,0)</f>
        <v>محمد السيد</v>
      </c>
      <c r="E127" s="20">
        <v>0.38958333333333334</v>
      </c>
      <c r="F127" s="20">
        <v>0.875</v>
      </c>
      <c r="G127" s="21" t="s">
        <v>69</v>
      </c>
      <c r="H127" s="20">
        <v>0.40902777777777777</v>
      </c>
      <c r="I127" s="20">
        <v>0.85972222222222228</v>
      </c>
      <c r="J127" s="22">
        <f>IF(OR(H127="",G127="غياب",G127="إجازة أسبوعية"),0,
IF(H127&gt;=E127-TIME(0,20,0),0,
IF(H127&gt;=E127-TIME(0,30,0),30,(E127-H127)*1440)))</f>
        <v>0</v>
      </c>
      <c r="K127" s="47">
        <f>(J127/60)*VLOOKUP(C127,Employees!A:J,10,0)*1.5</f>
        <v>0</v>
      </c>
      <c r="L127" s="22">
        <f>IF(OR(H127="",G127="غياب",G127="إجازة أسبوعية"),0,
IF(H127&lt;=E127+TIME(0,30,0),0,
30+((H127-(E127+TIME(0,30,0)))*1440)))</f>
        <v>0</v>
      </c>
      <c r="M127" s="23">
        <f>(L127/60)*VLOOKUP(C127,Employees!A:J,10,0)*2</f>
        <v>0</v>
      </c>
      <c r="N127" s="24">
        <f>IF(OR(I127="",G127="غياب",G127="إجازة أسبوعية",I127&lt;=F127),0,
IF(MOD(I127-F127,1)&lt;=TIME(0,25,0),0,MAX(0,(I127-F127)*1440)))</f>
        <v>0</v>
      </c>
      <c r="O127" s="25">
        <f>(N127/60)*VLOOKUP(C127,Employees!A:J,10,0)*1.5</f>
        <v>0</v>
      </c>
      <c r="P127" s="23">
        <f>IF(G127="غياب",VLOOKUP(C127,Employees!$A$3:$J$36,9,FALSE()),0)</f>
        <v>0</v>
      </c>
    </row>
    <row r="128" spans="1:16" ht="15" customHeight="1">
      <c r="A128" s="26" t="s">
        <v>76</v>
      </c>
      <c r="B128" s="28" t="s">
        <v>77</v>
      </c>
      <c r="C128" s="28" t="s">
        <v>17</v>
      </c>
      <c r="D128" s="28" t="str">
        <f>VLOOKUP(C128,Employees!A:J,2,0)</f>
        <v>محمد السيد</v>
      </c>
      <c r="E128" s="29" t="s">
        <v>78</v>
      </c>
      <c r="F128" s="29" t="s">
        <v>78</v>
      </c>
      <c r="G128" s="27" t="s">
        <v>79</v>
      </c>
      <c r="H128" s="29" t="s">
        <v>78</v>
      </c>
      <c r="I128" s="29" t="s">
        <v>78</v>
      </c>
      <c r="J128" s="22" t="s">
        <v>78</v>
      </c>
      <c r="K128" s="47" t="s">
        <v>78</v>
      </c>
      <c r="L128" s="22" t="s">
        <v>78</v>
      </c>
      <c r="M128" s="23" t="s">
        <v>78</v>
      </c>
      <c r="N128" s="24" t="s">
        <v>78</v>
      </c>
      <c r="O128" s="24" t="s">
        <v>78</v>
      </c>
      <c r="P128" s="23">
        <f>IF(G128="غياب",VLOOKUP(C128,Employees!$A$3:$J$36,9,FALSE()),0)</f>
        <v>0</v>
      </c>
    </row>
    <row r="129" spans="1:16" ht="15" customHeight="1">
      <c r="A129" s="17" t="s">
        <v>80</v>
      </c>
      <c r="B129" s="19" t="s">
        <v>81</v>
      </c>
      <c r="C129" s="19" t="s">
        <v>17</v>
      </c>
      <c r="D129" s="19" t="str">
        <f>VLOOKUP(C129,Employees!A:J,2,0)</f>
        <v>محمد السيد</v>
      </c>
      <c r="E129" s="20">
        <v>0.40347222222222223</v>
      </c>
      <c r="F129" s="20">
        <v>0.875</v>
      </c>
      <c r="G129" s="21" t="s">
        <v>69</v>
      </c>
      <c r="H129" s="20">
        <v>0.40902777777777777</v>
      </c>
      <c r="I129" s="20">
        <v>0.86111111111111116</v>
      </c>
      <c r="J129" s="22">
        <f t="shared" ref="J129:J134" si="79">IF(OR(H129="",G129="غياب",G129="إجازة أسبوعية"),0,
IF(H129&gt;=E129-TIME(0,20,0),0,
IF(H129&gt;=E129-TIME(0,30,0),30,(E129-H129)*1440)))</f>
        <v>0</v>
      </c>
      <c r="K129" s="47">
        <f>(J129/60)*VLOOKUP(C129,Employees!A:J,10,0)*1.5</f>
        <v>0</v>
      </c>
      <c r="L129" s="22">
        <f t="shared" ref="L129:L134" si="80">IF(OR(H129="",G129="غياب",G129="إجازة أسبوعية"),0,
IF(H129&lt;=E129+TIME(0,30,0),0,
30+((H129-(E129+TIME(0,30,0)))*1440)))</f>
        <v>0</v>
      </c>
      <c r="M129" s="23">
        <f>(L129/60)*VLOOKUP(C129,Employees!A:J,10,0)*2</f>
        <v>0</v>
      </c>
      <c r="N129" s="24">
        <f t="shared" ref="N129:N134" si="81">IF(OR(I129="",G129="غياب",G129="إجازة أسبوعية",I129&lt;=F129),0,
IF(MOD(I129-F129,1)&lt;=TIME(0,25,0),0,MAX(0,(I129-F129)*1440)))</f>
        <v>0</v>
      </c>
      <c r="O129" s="25">
        <f>(N129/60)*VLOOKUP(C129,Employees!A:J,10,0)*1.5</f>
        <v>0</v>
      </c>
      <c r="P129" s="23">
        <f>IF(G129="غياب",VLOOKUP(C129,Employees!$A$3:$J$36,9,FALSE()),0)</f>
        <v>0</v>
      </c>
    </row>
    <row r="130" spans="1:16" ht="15" customHeight="1">
      <c r="A130" s="17" t="s">
        <v>82</v>
      </c>
      <c r="B130" s="19" t="s">
        <v>83</v>
      </c>
      <c r="C130" s="19" t="s">
        <v>17</v>
      </c>
      <c r="D130" s="19" t="str">
        <f>VLOOKUP(C130,Employees!A:J,2,0)</f>
        <v>محمد السيد</v>
      </c>
      <c r="E130" s="20">
        <v>0.39652777777777776</v>
      </c>
      <c r="F130" s="20">
        <v>0.875</v>
      </c>
      <c r="G130" s="21" t="s">
        <v>69</v>
      </c>
      <c r="H130" s="20">
        <v>0.42499999999999999</v>
      </c>
      <c r="I130" s="20">
        <v>0.8666666666666667</v>
      </c>
      <c r="J130" s="22">
        <f t="shared" si="79"/>
        <v>0</v>
      </c>
      <c r="K130" s="47">
        <f>(J130/60)*VLOOKUP(C130,Employees!A:J,10,0)*1.5</f>
        <v>0</v>
      </c>
      <c r="L130" s="22">
        <f t="shared" si="80"/>
        <v>41.000000000000043</v>
      </c>
      <c r="M130" s="23">
        <f>(L130/60)*VLOOKUP(C130,Employees!A:J,10,0)*2</f>
        <v>29.526748971193442</v>
      </c>
      <c r="N130" s="24">
        <f t="shared" si="81"/>
        <v>0</v>
      </c>
      <c r="O130" s="25">
        <f>(N130/60)*VLOOKUP(C130,Employees!A:J,10,0)*1.5</f>
        <v>0</v>
      </c>
      <c r="P130" s="23">
        <f>IF(G130="غياب",VLOOKUP(C130,Employees!$A$3:$J$36,9,FALSE()),0)</f>
        <v>0</v>
      </c>
    </row>
    <row r="131" spans="1:16" ht="15" customHeight="1">
      <c r="A131" s="17" t="s">
        <v>84</v>
      </c>
      <c r="B131" s="19" t="s">
        <v>68</v>
      </c>
      <c r="C131" s="19" t="s">
        <v>17</v>
      </c>
      <c r="D131" s="19" t="str">
        <f>VLOOKUP(C131,Employees!A:J,2,0)</f>
        <v>محمد السيد</v>
      </c>
      <c r="E131" s="20">
        <v>0.3923611111111111</v>
      </c>
      <c r="F131" s="20">
        <v>0.875</v>
      </c>
      <c r="G131" s="21" t="s">
        <v>69</v>
      </c>
      <c r="H131" s="20">
        <v>0.41875000000000001</v>
      </c>
      <c r="I131" s="20">
        <v>0.86597222222222225</v>
      </c>
      <c r="J131" s="22">
        <f t="shared" si="79"/>
        <v>0</v>
      </c>
      <c r="K131" s="47">
        <f>(J131/60)*VLOOKUP(C131,Employees!A:J,10,0)*1.5</f>
        <v>0</v>
      </c>
      <c r="L131" s="22">
        <f t="shared" si="80"/>
        <v>38.00000000000005</v>
      </c>
      <c r="M131" s="23">
        <f>(L131/60)*VLOOKUP(C131,Employees!A:J,10,0)*2</f>
        <v>27.366255144032955</v>
      </c>
      <c r="N131" s="24">
        <f t="shared" si="81"/>
        <v>0</v>
      </c>
      <c r="O131" s="25">
        <f>(N131/60)*VLOOKUP(C131,Employees!A:J,10,0)*1.5</f>
        <v>0</v>
      </c>
      <c r="P131" s="23">
        <f>IF(G131="غياب",VLOOKUP(C131,Employees!$A$3:$J$36,9,FALSE()),0)</f>
        <v>0</v>
      </c>
    </row>
    <row r="132" spans="1:16" ht="15" customHeight="1">
      <c r="A132" s="17" t="s">
        <v>85</v>
      </c>
      <c r="B132" s="19" t="s">
        <v>71</v>
      </c>
      <c r="C132" s="19" t="s">
        <v>17</v>
      </c>
      <c r="D132" s="19" t="str">
        <f>VLOOKUP(C132,Employees!A:J,2,0)</f>
        <v>محمد السيد</v>
      </c>
      <c r="E132" s="20">
        <v>0.38819444444444445</v>
      </c>
      <c r="F132" s="20">
        <v>0.875</v>
      </c>
      <c r="G132" s="21" t="s">
        <v>69</v>
      </c>
      <c r="H132" s="20">
        <v>0.4201388888888889</v>
      </c>
      <c r="I132" s="20">
        <v>0.89583333333333337</v>
      </c>
      <c r="J132" s="22">
        <f t="shared" si="79"/>
        <v>0</v>
      </c>
      <c r="K132" s="47">
        <f>(J132/60)*VLOOKUP(C132,Employees!A:J,10,0)*1.5</f>
        <v>0</v>
      </c>
      <c r="L132" s="22">
        <f t="shared" si="80"/>
        <v>46.000000000000021</v>
      </c>
      <c r="M132" s="23">
        <f>(L132/60)*VLOOKUP(C132,Employees!A:J,10,0)*2</f>
        <v>33.127572016460917</v>
      </c>
      <c r="N132" s="24">
        <f t="shared" si="81"/>
        <v>30.000000000000053</v>
      </c>
      <c r="O132" s="25">
        <f>(N132/60)*VLOOKUP(C132,Employees!A:J,10,0)*1.5</f>
        <v>16.203703703703731</v>
      </c>
      <c r="P132" s="23">
        <f>IF(G132="غياب",VLOOKUP(C132,Employees!$A$3:$J$36,9,FALSE()),0)</f>
        <v>0</v>
      </c>
    </row>
    <row r="133" spans="1:16" ht="15" customHeight="1">
      <c r="A133" s="17" t="s">
        <v>86</v>
      </c>
      <c r="B133" s="19" t="s">
        <v>73</v>
      </c>
      <c r="C133" s="19" t="s">
        <v>17</v>
      </c>
      <c r="D133" s="19" t="str">
        <f>VLOOKUP(C133,Employees!A:J,2,0)</f>
        <v>محمد السيد</v>
      </c>
      <c r="E133" s="20">
        <v>0.40625</v>
      </c>
      <c r="F133" s="20">
        <v>0.875</v>
      </c>
      <c r="G133" s="21" t="s">
        <v>69</v>
      </c>
      <c r="H133" s="20">
        <v>0.42916666666666664</v>
      </c>
      <c r="I133" s="20">
        <v>0.875</v>
      </c>
      <c r="J133" s="22">
        <f t="shared" si="79"/>
        <v>0</v>
      </c>
      <c r="K133" s="47">
        <f>(J133/60)*VLOOKUP(C133,Employees!A:J,10,0)*1.5</f>
        <v>0</v>
      </c>
      <c r="L133" s="22">
        <f t="shared" si="80"/>
        <v>32.999999999999986</v>
      </c>
      <c r="M133" s="23">
        <f>(L133/60)*VLOOKUP(C133,Employees!A:J,10,0)*2</f>
        <v>23.765432098765416</v>
      </c>
      <c r="N133" s="24">
        <f t="shared" si="81"/>
        <v>0</v>
      </c>
      <c r="O133" s="25">
        <f>(N133/60)*VLOOKUP(C133,Employees!A:J,10,0)*1.5</f>
        <v>0</v>
      </c>
      <c r="P133" s="23">
        <f>IF(G133="غياب",VLOOKUP(C133,Employees!$A$3:$J$36,9,FALSE()),0)</f>
        <v>0</v>
      </c>
    </row>
    <row r="134" spans="1:16" ht="15" customHeight="1">
      <c r="A134" s="17" t="s">
        <v>87</v>
      </c>
      <c r="B134" s="19" t="s">
        <v>75</v>
      </c>
      <c r="C134" s="19" t="s">
        <v>17</v>
      </c>
      <c r="D134" s="19" t="str">
        <f>VLOOKUP(C134,Employees!A:J,2,0)</f>
        <v>محمد السيد</v>
      </c>
      <c r="E134" s="20">
        <v>0.41666666666666702</v>
      </c>
      <c r="F134" s="20">
        <v>0.91666666666666696</v>
      </c>
      <c r="G134" s="21" t="s">
        <v>69</v>
      </c>
      <c r="H134" s="20">
        <v>0.4284722222222222</v>
      </c>
      <c r="I134" s="20">
        <v>0.89097222222222228</v>
      </c>
      <c r="J134" s="22">
        <f t="shared" si="79"/>
        <v>0</v>
      </c>
      <c r="K134" s="47">
        <f>(J134/60)*VLOOKUP(C134,Employees!A:J,10,0)*1.5</f>
        <v>0</v>
      </c>
      <c r="L134" s="22">
        <f t="shared" si="80"/>
        <v>0</v>
      </c>
      <c r="M134" s="23">
        <f>(L134/60)*VLOOKUP(C134,Employees!A:J,10,0)*2</f>
        <v>0</v>
      </c>
      <c r="N134" s="24">
        <f t="shared" si="81"/>
        <v>0</v>
      </c>
      <c r="O134" s="25">
        <f>(N134/60)*VLOOKUP(C134,Employees!A:J,10,0)*1.5</f>
        <v>0</v>
      </c>
      <c r="P134" s="23">
        <f>IF(G134="غياب",VLOOKUP(C134,Employees!$A$3:$J$36,9,FALSE()),0)</f>
        <v>0</v>
      </c>
    </row>
    <row r="135" spans="1:16" ht="15" customHeight="1">
      <c r="A135" s="26" t="s">
        <v>88</v>
      </c>
      <c r="B135" s="28" t="s">
        <v>77</v>
      </c>
      <c r="C135" s="28" t="s">
        <v>17</v>
      </c>
      <c r="D135" s="28" t="str">
        <f>VLOOKUP(C135,Employees!A:J,2,0)</f>
        <v>محمد السيد</v>
      </c>
      <c r="E135" s="29" t="s">
        <v>78</v>
      </c>
      <c r="F135" s="29" t="s">
        <v>78</v>
      </c>
      <c r="G135" s="27" t="s">
        <v>79</v>
      </c>
      <c r="H135" s="29" t="s">
        <v>78</v>
      </c>
      <c r="I135" s="29" t="s">
        <v>78</v>
      </c>
      <c r="J135" s="22" t="s">
        <v>78</v>
      </c>
      <c r="K135" s="47" t="s">
        <v>78</v>
      </c>
      <c r="L135" s="22" t="s">
        <v>78</v>
      </c>
      <c r="M135" s="23" t="s">
        <v>78</v>
      </c>
      <c r="N135" s="24" t="s">
        <v>78</v>
      </c>
      <c r="O135" s="24" t="s">
        <v>78</v>
      </c>
      <c r="P135" s="23">
        <f>IF(G135="غياب",VLOOKUP(C135,Employees!$A$3:$J$36,9,FALSE()),0)</f>
        <v>0</v>
      </c>
    </row>
    <row r="136" spans="1:16" ht="15" customHeight="1">
      <c r="A136" s="26" t="s">
        <v>89</v>
      </c>
      <c r="B136" s="28" t="s">
        <v>81</v>
      </c>
      <c r="C136" s="28" t="s">
        <v>17</v>
      </c>
      <c r="D136" s="28" t="str">
        <f>VLOOKUP(C136,Employees!A:J,2,0)</f>
        <v>محمد السيد</v>
      </c>
      <c r="E136" s="29" t="s">
        <v>78</v>
      </c>
      <c r="F136" s="29" t="s">
        <v>78</v>
      </c>
      <c r="G136" s="27" t="s">
        <v>79</v>
      </c>
      <c r="H136" s="29" t="s">
        <v>78</v>
      </c>
      <c r="I136" s="29" t="s">
        <v>78</v>
      </c>
      <c r="J136" s="22" t="s">
        <v>78</v>
      </c>
      <c r="K136" s="47" t="s">
        <v>78</v>
      </c>
      <c r="L136" s="22" t="s">
        <v>78</v>
      </c>
      <c r="M136" s="23" t="s">
        <v>78</v>
      </c>
      <c r="N136" s="24" t="s">
        <v>78</v>
      </c>
      <c r="O136" s="24" t="s">
        <v>78</v>
      </c>
      <c r="P136" s="23">
        <f>IF(G136="غياب",VLOOKUP(C136,Employees!$A$3:$J$36,9,FALSE()),0)</f>
        <v>0</v>
      </c>
    </row>
    <row r="137" spans="1:16" ht="15" customHeight="1">
      <c r="A137" s="17" t="s">
        <v>90</v>
      </c>
      <c r="B137" s="19" t="s">
        <v>83</v>
      </c>
      <c r="C137" s="19" t="s">
        <v>17</v>
      </c>
      <c r="D137" s="19" t="str">
        <f>VLOOKUP(C137,Employees!A:J,2,0)</f>
        <v>محمد السيد</v>
      </c>
      <c r="E137" s="20">
        <v>0.41666666666666702</v>
      </c>
      <c r="F137" s="20">
        <v>0.91666666666666696</v>
      </c>
      <c r="G137" s="21" t="s">
        <v>69</v>
      </c>
      <c r="H137" s="20">
        <v>0.44444444444444442</v>
      </c>
      <c r="I137" s="20">
        <v>0.91249999999999998</v>
      </c>
      <c r="J137" s="22">
        <f t="shared" ref="J137:J141" si="82">IF(OR(H137="",G137="غياب",G137="إجازة أسبوعية"),0,
IF(H137&gt;=E137-TIME(0,20,0),0,
IF(H137&gt;=E137-TIME(0,30,0),30,(E137-H137)*1440)))</f>
        <v>0</v>
      </c>
      <c r="K137" s="47">
        <f>(J137/60)*VLOOKUP(C137,Employees!A:J,10,0)*1.5</f>
        <v>0</v>
      </c>
      <c r="L137" s="22">
        <f t="shared" ref="L137:L141" si="83">IF(OR(H137="",G137="غياب",G137="إجازة أسبوعية"),0,
IF(H137&lt;=E137+TIME(0,30,0),0,
30+((H137-(E137+TIME(0,30,0)))*1440)))</f>
        <v>39.999999999999488</v>
      </c>
      <c r="M137" s="23">
        <f>(L137/60)*VLOOKUP(C137,Employees!A:J,10,0)*2</f>
        <v>28.806584362139549</v>
      </c>
      <c r="N137" s="24">
        <f t="shared" ref="N137:N141" si="84">IF(OR(I137="",G137="غياب",G137="إجازة أسبوعية",I137&lt;=F137),0,
IF(MOD(I137-F137,1)&lt;=TIME(0,25,0),0,MAX(0,(I137-F137)*1440)))</f>
        <v>0</v>
      </c>
      <c r="O137" s="25">
        <f>(N137/60)*VLOOKUP(C137,Employees!A:J,10,0)*1.5</f>
        <v>0</v>
      </c>
      <c r="P137" s="23">
        <f>IF(G137="غياب",VLOOKUP(C137,Employees!$A$3:$J$36,9,FALSE()),0)</f>
        <v>0</v>
      </c>
    </row>
    <row r="138" spans="1:16" ht="15" customHeight="1">
      <c r="A138" s="17" t="s">
        <v>91</v>
      </c>
      <c r="B138" s="19" t="s">
        <v>68</v>
      </c>
      <c r="C138" s="19" t="s">
        <v>17</v>
      </c>
      <c r="D138" s="19" t="str">
        <f>VLOOKUP(C138,Employees!A:J,2,0)</f>
        <v>محمد السيد</v>
      </c>
      <c r="E138" s="20">
        <v>0.41666666666666702</v>
      </c>
      <c r="F138" s="20">
        <v>0.91666666666666696</v>
      </c>
      <c r="G138" s="21" t="s">
        <v>69</v>
      </c>
      <c r="H138" s="20">
        <v>0.43888888888888888</v>
      </c>
      <c r="I138" s="20">
        <v>0.91249999999999998</v>
      </c>
      <c r="J138" s="22">
        <f t="shared" si="82"/>
        <v>0</v>
      </c>
      <c r="K138" s="47">
        <f>(J138/60)*VLOOKUP(C138,Employees!A:J,10,0)*1.5</f>
        <v>0</v>
      </c>
      <c r="L138" s="22">
        <f t="shared" si="83"/>
        <v>31.999999999999513</v>
      </c>
      <c r="M138" s="23">
        <f>(L138/60)*VLOOKUP(C138,Employees!A:J,10,0)*2</f>
        <v>23.045267489711581</v>
      </c>
      <c r="N138" s="24">
        <f t="shared" si="84"/>
        <v>0</v>
      </c>
      <c r="O138" s="25">
        <f>(N138/60)*VLOOKUP(C138,Employees!A:J,10,0)*1.5</f>
        <v>0</v>
      </c>
      <c r="P138" s="23">
        <f>IF(G138="غياب",VLOOKUP(C138,Employees!$A$3:$J$36,9,FALSE()),0)</f>
        <v>0</v>
      </c>
    </row>
    <row r="139" spans="1:16" ht="15" customHeight="1">
      <c r="A139" s="17" t="s">
        <v>92</v>
      </c>
      <c r="B139" s="19" t="s">
        <v>71</v>
      </c>
      <c r="C139" s="19" t="s">
        <v>17</v>
      </c>
      <c r="D139" s="19" t="str">
        <f>VLOOKUP(C139,Employees!A:J,2,0)</f>
        <v>محمد السيد</v>
      </c>
      <c r="E139" s="20">
        <v>0.41666666666666702</v>
      </c>
      <c r="F139" s="20">
        <v>0.91666666666666696</v>
      </c>
      <c r="G139" s="21" t="s">
        <v>69</v>
      </c>
      <c r="H139" s="20">
        <v>0.44236111111111109</v>
      </c>
      <c r="I139" s="20">
        <v>0.90555555555555556</v>
      </c>
      <c r="J139" s="22">
        <f t="shared" si="82"/>
        <v>0</v>
      </c>
      <c r="K139" s="47">
        <f>(J139/60)*VLOOKUP(C139,Employees!A:J,10,0)*1.5</f>
        <v>0</v>
      </c>
      <c r="L139" s="22">
        <f t="shared" si="83"/>
        <v>36.999999999999496</v>
      </c>
      <c r="M139" s="23">
        <f>(L139/60)*VLOOKUP(C139,Employees!A:J,10,0)*2</f>
        <v>26.646090534979059</v>
      </c>
      <c r="N139" s="24">
        <f t="shared" si="84"/>
        <v>0</v>
      </c>
      <c r="O139" s="25">
        <f>(N139/60)*VLOOKUP(C139,Employees!A:J,10,0)*1.5</f>
        <v>0</v>
      </c>
      <c r="P139" s="23">
        <f>IF(G139="غياب",VLOOKUP(C139,Employees!$A$3:$J$36,9,FALSE()),0)</f>
        <v>0</v>
      </c>
    </row>
    <row r="140" spans="1:16" ht="15" customHeight="1">
      <c r="A140" s="17" t="s">
        <v>93</v>
      </c>
      <c r="B140" s="19" t="s">
        <v>73</v>
      </c>
      <c r="C140" s="19" t="s">
        <v>17</v>
      </c>
      <c r="D140" s="19" t="str">
        <f>VLOOKUP(C140,Employees!A:J,2,0)</f>
        <v>محمد السيد</v>
      </c>
      <c r="E140" s="20">
        <v>0.42916666666666664</v>
      </c>
      <c r="F140" s="20">
        <v>0.91666666666666696</v>
      </c>
      <c r="G140" s="21" t="s">
        <v>69</v>
      </c>
      <c r="H140" s="20">
        <v>0.44791666666666669</v>
      </c>
      <c r="I140" s="20">
        <v>0.91249999999999998</v>
      </c>
      <c r="J140" s="22">
        <f t="shared" si="82"/>
        <v>0</v>
      </c>
      <c r="K140" s="47">
        <f>(J140/60)*VLOOKUP(C140,Employees!A:J,10,0)*1.5</f>
        <v>0</v>
      </c>
      <c r="L140" s="22">
        <f t="shared" si="83"/>
        <v>0</v>
      </c>
      <c r="M140" s="23">
        <f>(L140/60)*VLOOKUP(C140,Employees!A:J,10,0)*2</f>
        <v>0</v>
      </c>
      <c r="N140" s="24">
        <f t="shared" si="84"/>
        <v>0</v>
      </c>
      <c r="O140" s="25">
        <f>(N140/60)*VLOOKUP(C140,Employees!A:J,10,0)*1.5</f>
        <v>0</v>
      </c>
      <c r="P140" s="23">
        <f>IF(G140="غياب",VLOOKUP(C140,Employees!$A$3:$J$36,9,FALSE()),0)</f>
        <v>0</v>
      </c>
    </row>
    <row r="141" spans="1:16" ht="15" customHeight="1">
      <c r="A141" s="17" t="s">
        <v>94</v>
      </c>
      <c r="B141" s="19" t="s">
        <v>75</v>
      </c>
      <c r="C141" s="19" t="s">
        <v>17</v>
      </c>
      <c r="D141" s="19" t="str">
        <f>VLOOKUP(C141,Employees!A:J,2,0)</f>
        <v>محمد السيد</v>
      </c>
      <c r="E141" s="20">
        <v>0.41805555555555557</v>
      </c>
      <c r="F141" s="20">
        <v>0.91666666666666696</v>
      </c>
      <c r="G141" s="21" t="s">
        <v>69</v>
      </c>
      <c r="H141" s="20">
        <v>0.44583333333333336</v>
      </c>
      <c r="I141" s="20">
        <v>0.91527777777777775</v>
      </c>
      <c r="J141" s="22">
        <f t="shared" si="82"/>
        <v>0</v>
      </c>
      <c r="K141" s="47">
        <f>(J141/60)*VLOOKUP(C141,Employees!A:J,10,0)*1.5</f>
        <v>0</v>
      </c>
      <c r="L141" s="22">
        <f t="shared" si="83"/>
        <v>40.000000000000043</v>
      </c>
      <c r="M141" s="23">
        <f>(L141/60)*VLOOKUP(C141,Employees!A:J,10,0)*2</f>
        <v>28.806584362139947</v>
      </c>
      <c r="N141" s="24">
        <f t="shared" si="84"/>
        <v>0</v>
      </c>
      <c r="O141" s="25">
        <f>(N141/60)*VLOOKUP(C141,Employees!A:J,10,0)*1.5</f>
        <v>0</v>
      </c>
      <c r="P141" s="23">
        <f>IF(G141="غياب",VLOOKUP(C141,Employees!$A$3:$J$36,9,FALSE()),0)</f>
        <v>0</v>
      </c>
    </row>
    <row r="142" spans="1:16" ht="15" customHeight="1">
      <c r="A142" s="26" t="s">
        <v>95</v>
      </c>
      <c r="B142" s="28" t="s">
        <v>77</v>
      </c>
      <c r="C142" s="28" t="s">
        <v>17</v>
      </c>
      <c r="D142" s="28" t="str">
        <f>VLOOKUP(C142,Employees!A:J,2,0)</f>
        <v>محمد السيد</v>
      </c>
      <c r="E142" s="29" t="s">
        <v>78</v>
      </c>
      <c r="F142" s="29" t="s">
        <v>78</v>
      </c>
      <c r="G142" s="27" t="s">
        <v>79</v>
      </c>
      <c r="H142" s="29" t="s">
        <v>78</v>
      </c>
      <c r="I142" s="29" t="s">
        <v>78</v>
      </c>
      <c r="J142" s="22" t="s">
        <v>78</v>
      </c>
      <c r="K142" s="47" t="s">
        <v>78</v>
      </c>
      <c r="L142" s="22" t="s">
        <v>78</v>
      </c>
      <c r="M142" s="23" t="s">
        <v>78</v>
      </c>
      <c r="N142" s="24" t="s">
        <v>78</v>
      </c>
      <c r="O142" s="24" t="s">
        <v>78</v>
      </c>
      <c r="P142" s="23">
        <f>IF(G142="غياب",VLOOKUP(C142,Employees!$A$3:$J$36,9,FALSE()),0)</f>
        <v>0</v>
      </c>
    </row>
    <row r="143" spans="1:16" ht="15" customHeight="1">
      <c r="A143" s="17" t="s">
        <v>96</v>
      </c>
      <c r="B143" s="19" t="s">
        <v>81</v>
      </c>
      <c r="C143" s="19" t="s">
        <v>17</v>
      </c>
      <c r="D143" s="19" t="str">
        <f>VLOOKUP(C143,Employees!A:J,2,0)</f>
        <v>محمد السيد</v>
      </c>
      <c r="E143" s="20">
        <v>0.42152777777777778</v>
      </c>
      <c r="F143" s="20">
        <v>0.91666666666666696</v>
      </c>
      <c r="G143" s="21" t="s">
        <v>69</v>
      </c>
      <c r="H143" s="20">
        <v>0.42777777777777776</v>
      </c>
      <c r="I143" s="20">
        <v>0.91805555555555551</v>
      </c>
      <c r="J143" s="22">
        <f t="shared" ref="J143:J148" si="85">IF(OR(H143="",G143="غياب",G143="إجازة أسبوعية"),0,
IF(H143&gt;=E143-TIME(0,20,0),0,
IF(H143&gt;=E143-TIME(0,30,0),30,(E143-H143)*1440)))</f>
        <v>0</v>
      </c>
      <c r="K143" s="47">
        <f>(J143/60)*VLOOKUP(C143,Employees!A:J,10,0)*1.5</f>
        <v>0</v>
      </c>
      <c r="L143" s="22">
        <f t="shared" ref="L143:L148" si="86">IF(OR(H143="",G143="غياب",G143="إجازة أسبوعية"),0,
IF(H143&lt;=E143+TIME(0,30,0),0,
30+((H143-(E143+TIME(0,30,0)))*1440)))</f>
        <v>0</v>
      </c>
      <c r="M143" s="23">
        <f>(L143/60)*VLOOKUP(C143,Employees!A:J,10,0)*2</f>
        <v>0</v>
      </c>
      <c r="N143" s="24">
        <f t="shared" ref="N143:N148" si="87">IF(OR(I143="",G143="غياب",G143="إجازة أسبوعية",I143&lt;=F143),0,
IF(MOD(I143-F143,1)&lt;=TIME(0,25,0),0,MAX(0,(I143-F143)*1440)))</f>
        <v>0</v>
      </c>
      <c r="O143" s="25">
        <f>(N143/60)*VLOOKUP(C143,Employees!A:J,10,0)*1.5</f>
        <v>0</v>
      </c>
      <c r="P143" s="23">
        <f>IF(G143="غياب",VLOOKUP(C143,Employees!$A$3:$J$36,9,FALSE()),0)</f>
        <v>0</v>
      </c>
    </row>
    <row r="144" spans="1:16" ht="15" customHeight="1">
      <c r="A144" s="17" t="s">
        <v>97</v>
      </c>
      <c r="B144" s="19" t="s">
        <v>83</v>
      </c>
      <c r="C144" s="19" t="s">
        <v>17</v>
      </c>
      <c r="D144" s="19" t="str">
        <f>VLOOKUP(C144,Employees!A:J,2,0)</f>
        <v>محمد السيد</v>
      </c>
      <c r="E144" s="20">
        <v>0.43055555555555558</v>
      </c>
      <c r="F144" s="20">
        <v>0.91666666666666696</v>
      </c>
      <c r="G144" s="21" t="s">
        <v>69</v>
      </c>
      <c r="H144" s="20">
        <v>0.43472222222222223</v>
      </c>
      <c r="I144" s="20">
        <v>0.91319444444444442</v>
      </c>
      <c r="J144" s="22">
        <f t="shared" si="85"/>
        <v>0</v>
      </c>
      <c r="K144" s="47">
        <f>(J144/60)*VLOOKUP(C144,Employees!A:J,10,0)*1.5</f>
        <v>0</v>
      </c>
      <c r="L144" s="22">
        <f t="shared" si="86"/>
        <v>0</v>
      </c>
      <c r="M144" s="23">
        <f>(L144/60)*VLOOKUP(C144,Employees!A:J,10,0)*2</f>
        <v>0</v>
      </c>
      <c r="N144" s="24">
        <f t="shared" si="87"/>
        <v>0</v>
      </c>
      <c r="O144" s="25">
        <f>(N144/60)*VLOOKUP(C144,Employees!A:J,10,0)*1.5</f>
        <v>0</v>
      </c>
      <c r="P144" s="23">
        <f>IF(G144="غياب",VLOOKUP(C144,Employees!$A$3:$J$36,9,FALSE()),0)</f>
        <v>0</v>
      </c>
    </row>
    <row r="145" spans="1:16" ht="15" customHeight="1">
      <c r="A145" s="17" t="s">
        <v>98</v>
      </c>
      <c r="B145" s="19" t="s">
        <v>68</v>
      </c>
      <c r="C145" s="19" t="s">
        <v>17</v>
      </c>
      <c r="D145" s="19" t="str">
        <f>VLOOKUP(C145,Employees!A:J,2,0)</f>
        <v>محمد السيد</v>
      </c>
      <c r="E145" s="20">
        <v>0.4236111111111111</v>
      </c>
      <c r="F145" s="20">
        <v>0.91666666666666696</v>
      </c>
      <c r="G145" s="21" t="s">
        <v>69</v>
      </c>
      <c r="H145" s="20">
        <v>0.44444444444444442</v>
      </c>
      <c r="I145" s="20">
        <v>0.92013888888888884</v>
      </c>
      <c r="J145" s="22">
        <f t="shared" si="85"/>
        <v>0</v>
      </c>
      <c r="K145" s="47">
        <f>(J145/60)*VLOOKUP(C145,Employees!A:J,10,0)*1.5</f>
        <v>0</v>
      </c>
      <c r="L145" s="22">
        <f t="shared" si="86"/>
        <v>0</v>
      </c>
      <c r="M145" s="23">
        <f>(L145/60)*VLOOKUP(C145,Employees!A:J,10,0)*2</f>
        <v>0</v>
      </c>
      <c r="N145" s="24">
        <f t="shared" si="87"/>
        <v>0</v>
      </c>
      <c r="O145" s="25">
        <f>(N145/60)*VLOOKUP(C145,Employees!A:J,10,0)*1.5</f>
        <v>0</v>
      </c>
      <c r="P145" s="23">
        <f>IF(G145="غياب",VLOOKUP(C145,Employees!$A$3:$J$36,9,FALSE()),0)</f>
        <v>0</v>
      </c>
    </row>
    <row r="146" spans="1:16" ht="15" customHeight="1">
      <c r="A146" s="17" t="s">
        <v>99</v>
      </c>
      <c r="B146" s="19" t="s">
        <v>71</v>
      </c>
      <c r="C146" s="19" t="s">
        <v>17</v>
      </c>
      <c r="D146" s="19" t="str">
        <f>VLOOKUP(C146,Employees!A:J,2,0)</f>
        <v>محمد السيد</v>
      </c>
      <c r="E146" s="20">
        <v>0.42430555555555555</v>
      </c>
      <c r="F146" s="20">
        <v>0.91666666666666696</v>
      </c>
      <c r="G146" s="21" t="s">
        <v>69</v>
      </c>
      <c r="H146" s="20">
        <v>0.43958333333333333</v>
      </c>
      <c r="I146" s="20">
        <v>0.90972222222222221</v>
      </c>
      <c r="J146" s="22">
        <f t="shared" si="85"/>
        <v>0</v>
      </c>
      <c r="K146" s="47">
        <f>(J146/60)*VLOOKUP(C146,Employees!A:J,10,0)*1.5</f>
        <v>0</v>
      </c>
      <c r="L146" s="22">
        <f t="shared" si="86"/>
        <v>0</v>
      </c>
      <c r="M146" s="23">
        <f>(L146/60)*VLOOKUP(C146,Employees!A:J,10,0)*2</f>
        <v>0</v>
      </c>
      <c r="N146" s="24">
        <f t="shared" si="87"/>
        <v>0</v>
      </c>
      <c r="O146" s="25">
        <f>(N146/60)*VLOOKUP(C146,Employees!A:J,10,0)*1.5</f>
        <v>0</v>
      </c>
      <c r="P146" s="23">
        <f>IF(G146="غياب",VLOOKUP(C146,Employees!$A$3:$J$36,9,FALSE()),0)</f>
        <v>0</v>
      </c>
    </row>
    <row r="147" spans="1:16" ht="15" customHeight="1">
      <c r="A147" s="17" t="s">
        <v>100</v>
      </c>
      <c r="B147" s="19" t="s">
        <v>73</v>
      </c>
      <c r="C147" s="19" t="s">
        <v>17</v>
      </c>
      <c r="D147" s="19" t="str">
        <f>VLOOKUP(C147,Employees!A:J,2,0)</f>
        <v>محمد السيد</v>
      </c>
      <c r="E147" s="20">
        <v>0.40069444444444446</v>
      </c>
      <c r="F147" s="30">
        <v>0.875</v>
      </c>
      <c r="G147" s="21" t="s">
        <v>69</v>
      </c>
      <c r="H147" s="20">
        <v>0.42777777777777776</v>
      </c>
      <c r="I147" s="20">
        <v>0.87708333333333333</v>
      </c>
      <c r="J147" s="22">
        <f t="shared" si="85"/>
        <v>0</v>
      </c>
      <c r="K147" s="47">
        <f>(J147/60)*VLOOKUP(C147,Employees!A:J,10,0)*1.5</f>
        <v>0</v>
      </c>
      <c r="L147" s="22">
        <f t="shared" si="86"/>
        <v>38.999999999999972</v>
      </c>
      <c r="M147" s="23">
        <f>(L147/60)*VLOOKUP(C147,Employees!A:J,10,0)*2</f>
        <v>28.0864197530864</v>
      </c>
      <c r="N147" s="24">
        <f t="shared" si="87"/>
        <v>0</v>
      </c>
      <c r="O147" s="25">
        <f>(N147/60)*VLOOKUP(C147,Employees!A:J,10,0)*1.5</f>
        <v>0</v>
      </c>
      <c r="P147" s="23">
        <f>IF(G147="غياب",VLOOKUP(C147,Employees!$A$3:$J$36,9,FALSE()),0)</f>
        <v>0</v>
      </c>
    </row>
    <row r="148" spans="1:16" ht="15" customHeight="1">
      <c r="A148" s="17" t="s">
        <v>101</v>
      </c>
      <c r="B148" s="19" t="s">
        <v>75</v>
      </c>
      <c r="C148" s="19" t="s">
        <v>17</v>
      </c>
      <c r="D148" s="19" t="str">
        <f>VLOOKUP(C148,Employees!A:J,2,0)</f>
        <v>محمد السيد</v>
      </c>
      <c r="E148" s="20">
        <v>0.375</v>
      </c>
      <c r="F148" s="30">
        <v>0.875</v>
      </c>
      <c r="G148" s="21" t="s">
        <v>69</v>
      </c>
      <c r="H148" s="20">
        <v>0.40555555555555556</v>
      </c>
      <c r="I148" s="20">
        <v>0.89722222222222225</v>
      </c>
      <c r="J148" s="22">
        <f t="shared" si="85"/>
        <v>0</v>
      </c>
      <c r="K148" s="47">
        <f>(J148/60)*VLOOKUP(C148,Employees!A:J,10,0)*1.5</f>
        <v>0</v>
      </c>
      <c r="L148" s="22">
        <f t="shared" si="86"/>
        <v>44.000000000000028</v>
      </c>
      <c r="M148" s="23">
        <f>(L148/60)*VLOOKUP(C148,Employees!A:J,10,0)*2</f>
        <v>31.687242798353928</v>
      </c>
      <c r="N148" s="24">
        <f t="shared" si="87"/>
        <v>32.000000000000043</v>
      </c>
      <c r="O148" s="25">
        <f>(N148/60)*VLOOKUP(C148,Employees!A:J,10,0)*1.5</f>
        <v>17.283950617283971</v>
      </c>
      <c r="P148" s="23">
        <f>IF(G148="غياب",VLOOKUP(C148,Employees!$A$3:$J$36,9,FALSE()),0)</f>
        <v>0</v>
      </c>
    </row>
    <row r="149" spans="1:16" ht="15" customHeight="1">
      <c r="A149" s="26" t="s">
        <v>102</v>
      </c>
      <c r="B149" s="28" t="s">
        <v>77</v>
      </c>
      <c r="C149" s="28" t="s">
        <v>17</v>
      </c>
      <c r="D149" s="28" t="str">
        <f>VLOOKUP(C149,Employees!A:J,2,0)</f>
        <v>محمد السيد</v>
      </c>
      <c r="E149" s="29" t="s">
        <v>78</v>
      </c>
      <c r="F149" s="29" t="s">
        <v>78</v>
      </c>
      <c r="G149" s="27" t="s">
        <v>79</v>
      </c>
      <c r="H149" s="29" t="s">
        <v>78</v>
      </c>
      <c r="I149" s="29" t="s">
        <v>78</v>
      </c>
      <c r="J149" s="22" t="s">
        <v>78</v>
      </c>
      <c r="K149" s="47" t="s">
        <v>78</v>
      </c>
      <c r="L149" s="22" t="s">
        <v>78</v>
      </c>
      <c r="M149" s="23" t="s">
        <v>78</v>
      </c>
      <c r="N149" s="24" t="s">
        <v>78</v>
      </c>
      <c r="O149" s="24" t="s">
        <v>78</v>
      </c>
      <c r="P149" s="23">
        <f>IF(G149="غياب",VLOOKUP(C149,Employees!$A$3:$J$36,9,FALSE()),0)</f>
        <v>0</v>
      </c>
    </row>
    <row r="150" spans="1:16" ht="15" customHeight="1">
      <c r="A150" s="17" t="s">
        <v>103</v>
      </c>
      <c r="B150" s="19" t="s">
        <v>81</v>
      </c>
      <c r="C150" s="19" t="s">
        <v>17</v>
      </c>
      <c r="D150" s="19" t="str">
        <f>VLOOKUP(C150,Employees!A:J,2,0)</f>
        <v>محمد السيد</v>
      </c>
      <c r="E150" s="20">
        <v>0.40694444444444444</v>
      </c>
      <c r="F150" s="30">
        <v>0.875</v>
      </c>
      <c r="G150" s="21" t="s">
        <v>69</v>
      </c>
      <c r="H150" s="20">
        <f>E150</f>
        <v>0.40694444444444444</v>
      </c>
      <c r="I150" s="20">
        <v>0.88888888888888884</v>
      </c>
      <c r="J150" s="22">
        <f t="shared" ref="J150:J157" si="88">IF(OR(H150="",G150="غياب",G150="إجازة أسبوعية"),0,
IF(H150&gt;=E150-TIME(0,20,0),0,
IF(H150&gt;=E150-TIME(0,30,0),30,(E150-H150)*1440)))</f>
        <v>0</v>
      </c>
      <c r="K150" s="47">
        <f>(J150/60)*VLOOKUP(C150,Employees!A:J,10,0)*1.5</f>
        <v>0</v>
      </c>
      <c r="L150" s="22">
        <f t="shared" ref="L150:L157" si="89">IF(OR(H150="",G150="غياب",G150="إجازة أسبوعية"),0,
IF(H150&lt;=E150+TIME(0,30,0),0,
30+((H150-(E150+TIME(0,30,0)))*1440)))</f>
        <v>0</v>
      </c>
      <c r="M150" s="23">
        <f>(L150/60)*VLOOKUP(C150,Employees!A:J,10,0)*2</f>
        <v>0</v>
      </c>
      <c r="N150" s="24">
        <f t="shared" ref="N150:N157" si="90">IF(OR(I150="",G150="غياب",G150="إجازة أسبوعية",I150&lt;=F150),0,
IF(MOD(I150-F150,1)&lt;=TIME(0,25,0),0,MAX(0,(I150-F150)*1440)))</f>
        <v>0</v>
      </c>
      <c r="O150" s="25">
        <f>(N150/60)*VLOOKUP(C150,Employees!A:J,10,0)*1.5</f>
        <v>0</v>
      </c>
      <c r="P150" s="23">
        <f>IF(G150="غياب",VLOOKUP(C150,Employees!$A$3:$J$36,9,FALSE()),0)</f>
        <v>0</v>
      </c>
    </row>
    <row r="151" spans="1:16" ht="15" customHeight="1">
      <c r="A151" s="17" t="s">
        <v>104</v>
      </c>
      <c r="B151" s="19" t="s">
        <v>83</v>
      </c>
      <c r="C151" s="19" t="s">
        <v>17</v>
      </c>
      <c r="D151" s="19" t="str">
        <f>VLOOKUP(C151,Employees!A:J,2,0)</f>
        <v>محمد السيد</v>
      </c>
      <c r="E151" s="20">
        <v>0.38541666666666669</v>
      </c>
      <c r="F151" s="30">
        <v>0.875</v>
      </c>
      <c r="G151" s="21" t="s">
        <v>69</v>
      </c>
      <c r="H151" s="20">
        <v>0.39166666666666666</v>
      </c>
      <c r="I151" s="20">
        <v>0.8833333333333333</v>
      </c>
      <c r="J151" s="22">
        <f t="shared" si="88"/>
        <v>0</v>
      </c>
      <c r="K151" s="47">
        <f>(J151/60)*VLOOKUP(C151,Employees!A:J,10,0)*1.5</f>
        <v>0</v>
      </c>
      <c r="L151" s="22">
        <f t="shared" si="89"/>
        <v>0</v>
      </c>
      <c r="M151" s="23">
        <f>(L151/60)*VLOOKUP(C151,Employees!A:J,10,0)*2</f>
        <v>0</v>
      </c>
      <c r="N151" s="24">
        <f t="shared" si="90"/>
        <v>0</v>
      </c>
      <c r="O151" s="25">
        <f>(N151/60)*VLOOKUP(C151,Employees!A:J,10,0)*1.5</f>
        <v>0</v>
      </c>
      <c r="P151" s="23">
        <f>IF(G151="غياب",VLOOKUP(C151,Employees!$A$3:$J$36,9,FALSE()),0)</f>
        <v>0</v>
      </c>
    </row>
    <row r="152" spans="1:16" ht="15" customHeight="1">
      <c r="A152" s="17" t="s">
        <v>105</v>
      </c>
      <c r="B152" s="19" t="s">
        <v>68</v>
      </c>
      <c r="C152" s="19" t="s">
        <v>17</v>
      </c>
      <c r="D152" s="19" t="str">
        <f>VLOOKUP(C152,Employees!A:J,2,0)</f>
        <v>محمد السيد</v>
      </c>
      <c r="E152" s="20">
        <v>0.3840277777777778</v>
      </c>
      <c r="F152" s="30">
        <v>0.875</v>
      </c>
      <c r="G152" s="21" t="s">
        <v>69</v>
      </c>
      <c r="H152" s="20">
        <v>0.40763888888888888</v>
      </c>
      <c r="I152" s="20">
        <v>0.88194444444444442</v>
      </c>
      <c r="J152" s="22">
        <f t="shared" si="88"/>
        <v>0</v>
      </c>
      <c r="K152" s="47">
        <f>(J152/60)*VLOOKUP(C152,Employees!A:J,10,0)*1.5</f>
        <v>0</v>
      </c>
      <c r="L152" s="22">
        <f t="shared" si="89"/>
        <v>33.999999999999986</v>
      </c>
      <c r="M152" s="23">
        <f>(L152/60)*VLOOKUP(C152,Employees!A:J,10,0)*2</f>
        <v>24.485596707818917</v>
      </c>
      <c r="N152" s="24">
        <f t="shared" si="90"/>
        <v>0</v>
      </c>
      <c r="O152" s="25">
        <f>(N152/60)*VLOOKUP(C152,Employees!A:J,10,0)*1.5</f>
        <v>0</v>
      </c>
      <c r="P152" s="23">
        <f>IF(G152="غياب",VLOOKUP(C152,Employees!$A$3:$J$36,9,FALSE()),0)</f>
        <v>0</v>
      </c>
    </row>
    <row r="153" spans="1:16" ht="15" customHeight="1">
      <c r="A153" s="17" t="s">
        <v>106</v>
      </c>
      <c r="B153" s="19" t="s">
        <v>71</v>
      </c>
      <c r="C153" s="19" t="s">
        <v>17</v>
      </c>
      <c r="D153" s="19" t="str">
        <f>VLOOKUP(C153,Employees!A:J,2,0)</f>
        <v>محمد السيد</v>
      </c>
      <c r="E153" s="20">
        <v>0.37986111111111109</v>
      </c>
      <c r="F153" s="30">
        <v>0.875</v>
      </c>
      <c r="G153" s="21" t="s">
        <v>69</v>
      </c>
      <c r="H153" s="20">
        <v>0.4152777777777778</v>
      </c>
      <c r="I153" s="20">
        <v>0.875</v>
      </c>
      <c r="J153" s="22">
        <f t="shared" si="88"/>
        <v>0</v>
      </c>
      <c r="K153" s="47">
        <f>(J153/60)*VLOOKUP(C153,Employees!A:J,10,0)*1.5</f>
        <v>0</v>
      </c>
      <c r="L153" s="22">
        <f t="shared" si="89"/>
        <v>51.000000000000085</v>
      </c>
      <c r="M153" s="23">
        <f>(L153/60)*VLOOKUP(C153,Employees!A:J,10,0)*2</f>
        <v>36.728395061728456</v>
      </c>
      <c r="N153" s="24">
        <f t="shared" si="90"/>
        <v>0</v>
      </c>
      <c r="O153" s="25">
        <f>(N153/60)*VLOOKUP(C153,Employees!A:J,10,0)*1.5</f>
        <v>0</v>
      </c>
      <c r="P153" s="23">
        <f>IF(G153="غياب",VLOOKUP(C153,Employees!$A$3:$J$36,9,FALSE()),0)</f>
        <v>0</v>
      </c>
    </row>
    <row r="154" spans="1:16" ht="15" customHeight="1">
      <c r="A154" s="17" t="s">
        <v>67</v>
      </c>
      <c r="B154" s="19" t="s">
        <v>68</v>
      </c>
      <c r="C154" s="19" t="s">
        <v>18</v>
      </c>
      <c r="D154" s="19" t="str">
        <f>VLOOKUP(C154,Employees!A:J,2,0)</f>
        <v>يحي طارق</v>
      </c>
      <c r="E154" s="20">
        <v>0.375</v>
      </c>
      <c r="F154" s="20">
        <v>0.875</v>
      </c>
      <c r="G154" s="21" t="s">
        <v>69</v>
      </c>
      <c r="H154" s="20">
        <v>0.44930555555555557</v>
      </c>
      <c r="I154" s="20">
        <v>0.86319444444444449</v>
      </c>
      <c r="J154" s="22">
        <f t="shared" si="88"/>
        <v>0</v>
      </c>
      <c r="K154" s="47">
        <f>(J154/60)*VLOOKUP(C154,Employees!A:J,10,0)*1.5</f>
        <v>0</v>
      </c>
      <c r="L154" s="22">
        <f t="shared" si="89"/>
        <v>107.00000000000004</v>
      </c>
      <c r="M154" s="23">
        <f>(L154/60)*VLOOKUP(C154,Employees!A:J,10,0)*2</f>
        <v>77.057613168724302</v>
      </c>
      <c r="N154" s="24">
        <f t="shared" si="90"/>
        <v>0</v>
      </c>
      <c r="O154" s="25">
        <f>(N154/60)*VLOOKUP(C154,Employees!A:J,10,0)*1.5</f>
        <v>0</v>
      </c>
      <c r="P154" s="23">
        <f>IF(G154="غياب",VLOOKUP(C154,Employees!$A$3:$J$36,9,FALSE()),0)</f>
        <v>0</v>
      </c>
    </row>
    <row r="155" spans="1:16" ht="15" customHeight="1">
      <c r="A155" s="17" t="s">
        <v>70</v>
      </c>
      <c r="B155" s="19" t="s">
        <v>71</v>
      </c>
      <c r="C155" s="19" t="s">
        <v>18</v>
      </c>
      <c r="D155" s="19" t="str">
        <f>VLOOKUP(C155,Employees!A:J,2,0)</f>
        <v>يحي طارق</v>
      </c>
      <c r="E155" s="20">
        <v>0.375</v>
      </c>
      <c r="F155" s="20">
        <v>0.875</v>
      </c>
      <c r="G155" s="21" t="s">
        <v>69</v>
      </c>
      <c r="H155" s="20">
        <v>0.375</v>
      </c>
      <c r="I155" s="20">
        <v>0.90347222222222223</v>
      </c>
      <c r="J155" s="22">
        <f t="shared" si="88"/>
        <v>0</v>
      </c>
      <c r="K155" s="47">
        <f>(J155/60)*VLOOKUP(C155,Employees!A:J,10,0)*1.5</f>
        <v>0</v>
      </c>
      <c r="L155" s="22">
        <f t="shared" si="89"/>
        <v>0</v>
      </c>
      <c r="M155" s="23">
        <f>(L155/60)*VLOOKUP(C155,Employees!A:J,10,0)*2</f>
        <v>0</v>
      </c>
      <c r="N155" s="24">
        <f t="shared" si="90"/>
        <v>41.000000000000014</v>
      </c>
      <c r="O155" s="25">
        <f>(N155/60)*VLOOKUP(C155,Employees!A:J,10,0)*1.5</f>
        <v>22.145061728395067</v>
      </c>
      <c r="P155" s="23">
        <f>IF(G155="غياب",VLOOKUP(C155,Employees!$A$3:$J$36,9,FALSE()),0)</f>
        <v>0</v>
      </c>
    </row>
    <row r="156" spans="1:16" ht="15" customHeight="1">
      <c r="A156" s="17" t="s">
        <v>72</v>
      </c>
      <c r="B156" s="19" t="s">
        <v>73</v>
      </c>
      <c r="C156" s="19" t="s">
        <v>18</v>
      </c>
      <c r="D156" s="19" t="str">
        <f>VLOOKUP(C156,Employees!A:J,2,0)</f>
        <v>يحي طارق</v>
      </c>
      <c r="E156" s="20">
        <v>0.375</v>
      </c>
      <c r="F156" s="20">
        <v>0.875</v>
      </c>
      <c r="G156" s="21" t="s">
        <v>69</v>
      </c>
      <c r="H156" s="20">
        <v>0.4826388888888889</v>
      </c>
      <c r="I156" s="20">
        <v>0.90833333333333333</v>
      </c>
      <c r="J156" s="22">
        <f t="shared" si="88"/>
        <v>0</v>
      </c>
      <c r="K156" s="47">
        <f>(J156/60)*VLOOKUP(C156,Employees!A:J,10,0)*1.5</f>
        <v>0</v>
      </c>
      <c r="L156" s="22">
        <f t="shared" si="89"/>
        <v>155.00000000000003</v>
      </c>
      <c r="M156" s="23">
        <f>(L156/60)*VLOOKUP(C156,Employees!A:J,10,0)*2</f>
        <v>111.6255144032922</v>
      </c>
      <c r="N156" s="24">
        <f t="shared" si="90"/>
        <v>47.999999999999986</v>
      </c>
      <c r="O156" s="25">
        <f>(N156/60)*VLOOKUP(C156,Employees!A:J,10,0)*1.5</f>
        <v>25.925925925925913</v>
      </c>
      <c r="P156" s="23">
        <f>IF(G156="غياب",VLOOKUP(C156,Employees!$A$3:$J$36,9,FALSE()),0)</f>
        <v>0</v>
      </c>
    </row>
    <row r="157" spans="1:16" ht="15" customHeight="1">
      <c r="A157" s="17" t="s">
        <v>74</v>
      </c>
      <c r="B157" s="19" t="s">
        <v>75</v>
      </c>
      <c r="C157" s="19" t="s">
        <v>18</v>
      </c>
      <c r="D157" s="19" t="str">
        <f>VLOOKUP(C157,Employees!A:J,2,0)</f>
        <v>يحي طارق</v>
      </c>
      <c r="E157" s="20">
        <v>0.375</v>
      </c>
      <c r="F157" s="20">
        <v>0.875</v>
      </c>
      <c r="G157" s="21" t="s">
        <v>69</v>
      </c>
      <c r="H157" s="20">
        <v>0.375</v>
      </c>
      <c r="I157" s="20">
        <v>0.86388888888888893</v>
      </c>
      <c r="J157" s="22">
        <f t="shared" si="88"/>
        <v>0</v>
      </c>
      <c r="K157" s="47">
        <f>(J157/60)*VLOOKUP(C157,Employees!A:J,10,0)*1.5</f>
        <v>0</v>
      </c>
      <c r="L157" s="22">
        <f t="shared" si="89"/>
        <v>0</v>
      </c>
      <c r="M157" s="23">
        <f>(L157/60)*VLOOKUP(C157,Employees!A:J,10,0)*2</f>
        <v>0</v>
      </c>
      <c r="N157" s="24">
        <f t="shared" si="90"/>
        <v>0</v>
      </c>
      <c r="O157" s="25">
        <f>(N157/60)*VLOOKUP(C157,Employees!A:J,10,0)*1.5</f>
        <v>0</v>
      </c>
      <c r="P157" s="23">
        <f>IF(G157="غياب",VLOOKUP(C157,Employees!$A$3:$J$36,9,FALSE()),0)</f>
        <v>0</v>
      </c>
    </row>
    <row r="158" spans="1:16" ht="15" customHeight="1">
      <c r="A158" s="26" t="s">
        <v>76</v>
      </c>
      <c r="B158" s="28" t="s">
        <v>77</v>
      </c>
      <c r="C158" s="28" t="s">
        <v>18</v>
      </c>
      <c r="D158" s="28" t="str">
        <f>VLOOKUP(C158,Employees!A:J,2,0)</f>
        <v>يحي طارق</v>
      </c>
      <c r="E158" s="29" t="s">
        <v>78</v>
      </c>
      <c r="F158" s="29" t="s">
        <v>78</v>
      </c>
      <c r="G158" s="27" t="s">
        <v>79</v>
      </c>
      <c r="H158" s="29" t="s">
        <v>78</v>
      </c>
      <c r="I158" s="29" t="s">
        <v>78</v>
      </c>
      <c r="J158" s="22" t="s">
        <v>78</v>
      </c>
      <c r="K158" s="47" t="s">
        <v>78</v>
      </c>
      <c r="L158" s="22" t="s">
        <v>78</v>
      </c>
      <c r="M158" s="23" t="s">
        <v>78</v>
      </c>
      <c r="N158" s="24" t="s">
        <v>78</v>
      </c>
      <c r="O158" s="24" t="s">
        <v>78</v>
      </c>
      <c r="P158" s="23">
        <f>IF(G158="غياب",VLOOKUP(C158,Employees!$A$3:$J$36,9,FALSE()),0)</f>
        <v>0</v>
      </c>
    </row>
    <row r="159" spans="1:16" ht="15" customHeight="1">
      <c r="A159" s="17" t="s">
        <v>80</v>
      </c>
      <c r="B159" s="19" t="s">
        <v>81</v>
      </c>
      <c r="C159" s="19" t="s">
        <v>18</v>
      </c>
      <c r="D159" s="19" t="str">
        <f>VLOOKUP(C159,Employees!A:J,2,0)</f>
        <v>يحي طارق</v>
      </c>
      <c r="E159" s="20">
        <v>0.375</v>
      </c>
      <c r="F159" s="20">
        <v>0.875</v>
      </c>
      <c r="G159" s="21" t="s">
        <v>69</v>
      </c>
      <c r="H159" s="20">
        <v>0.51944444444444449</v>
      </c>
      <c r="I159" s="20">
        <v>0.8666666666666667</v>
      </c>
      <c r="J159" s="22">
        <f t="shared" ref="J159:J161" si="91">IF(OR(H159="",G159="غياب",G159="إجازة أسبوعية"),0,
IF(H159&gt;=E159-TIME(0,20,0),0,
IF(H159&gt;=E159-TIME(0,30,0),30,(E159-H159)*1440)))</f>
        <v>0</v>
      </c>
      <c r="K159" s="47">
        <f>(J159/60)*VLOOKUP(C159,Employees!A:J,10,0)*1.5</f>
        <v>0</v>
      </c>
      <c r="L159" s="22">
        <f t="shared" ref="L159:L161" si="92">IF(OR(H159="",G159="غياب",G159="إجازة أسبوعية"),0,
IF(H159&lt;=E159+TIME(0,30,0),0,
30+((H159-(E159+TIME(0,30,0)))*1440)))</f>
        <v>208.00000000000009</v>
      </c>
      <c r="M159" s="23">
        <f>(L159/60)*VLOOKUP(C159,Employees!A:J,10,0)*2</f>
        <v>149.79423868312762</v>
      </c>
      <c r="N159" s="24">
        <f t="shared" ref="N159:N161" si="93">IF(OR(I159="",G159="غياب",G159="إجازة أسبوعية",I159&lt;=F159),0,
IF(MOD(I159-F159,1)&lt;=TIME(0,25,0),0,MAX(0,(I159-F159)*1440)))</f>
        <v>0</v>
      </c>
      <c r="O159" s="25">
        <f>(N159/60)*VLOOKUP(C159,Employees!A:J,10,0)*1.5</f>
        <v>0</v>
      </c>
      <c r="P159" s="23">
        <f>IF(G159="غياب",VLOOKUP(C159,Employees!$A$3:$J$36,9,FALSE()),0)</f>
        <v>0</v>
      </c>
    </row>
    <row r="160" spans="1:16" ht="15" customHeight="1">
      <c r="A160" s="17" t="s">
        <v>82</v>
      </c>
      <c r="B160" s="19" t="s">
        <v>83</v>
      </c>
      <c r="C160" s="19" t="s">
        <v>18</v>
      </c>
      <c r="D160" s="19" t="str">
        <f>VLOOKUP(C160,Employees!A:J,2,0)</f>
        <v>يحي طارق</v>
      </c>
      <c r="E160" s="20">
        <v>0.375</v>
      </c>
      <c r="F160" s="20">
        <v>0.875</v>
      </c>
      <c r="G160" s="21" t="s">
        <v>69</v>
      </c>
      <c r="H160" s="20">
        <v>0.48749999999999999</v>
      </c>
      <c r="I160" s="20">
        <v>0.86111111111111116</v>
      </c>
      <c r="J160" s="22">
        <f t="shared" si="91"/>
        <v>0</v>
      </c>
      <c r="K160" s="47">
        <f>(J160/60)*VLOOKUP(C160,Employees!A:J,10,0)*1.5</f>
        <v>0</v>
      </c>
      <c r="L160" s="22">
        <f t="shared" si="92"/>
        <v>162</v>
      </c>
      <c r="M160" s="23">
        <f>(L160/60)*VLOOKUP(C160,Employees!A:J,10,0)*2</f>
        <v>116.66666666666667</v>
      </c>
      <c r="N160" s="24">
        <f t="shared" si="93"/>
        <v>0</v>
      </c>
      <c r="O160" s="25">
        <f>(N160/60)*VLOOKUP(C160,Employees!A:J,10,0)*1.5</f>
        <v>0</v>
      </c>
      <c r="P160" s="23">
        <f>IF(G160="غياب",VLOOKUP(C160,Employees!$A$3:$J$36,9,FALSE()),0)</f>
        <v>0</v>
      </c>
    </row>
    <row r="161" spans="1:16" ht="15" customHeight="1">
      <c r="A161" s="17" t="s">
        <v>84</v>
      </c>
      <c r="B161" s="19" t="s">
        <v>68</v>
      </c>
      <c r="C161" s="19" t="s">
        <v>18</v>
      </c>
      <c r="D161" s="19" t="str">
        <f>VLOOKUP(C161,Employees!A:J,2,0)</f>
        <v>يحي طارق</v>
      </c>
      <c r="E161" s="20">
        <v>0.375</v>
      </c>
      <c r="F161" s="20">
        <v>0.875</v>
      </c>
      <c r="G161" s="21" t="s">
        <v>69</v>
      </c>
      <c r="H161" s="20">
        <v>0.4284722222222222</v>
      </c>
      <c r="I161" s="20">
        <v>0.87013888888888891</v>
      </c>
      <c r="J161" s="22">
        <f t="shared" si="91"/>
        <v>0</v>
      </c>
      <c r="K161" s="47">
        <f>(J161/60)*VLOOKUP(C161,Employees!A:J,10,0)*1.5</f>
        <v>0</v>
      </c>
      <c r="L161" s="22">
        <f t="shared" si="92"/>
        <v>77</v>
      </c>
      <c r="M161" s="23">
        <f>(L161/60)*VLOOKUP(C161,Employees!A:J,10,0)*2</f>
        <v>55.452674897119344</v>
      </c>
      <c r="N161" s="24">
        <f t="shared" si="93"/>
        <v>0</v>
      </c>
      <c r="O161" s="25">
        <f>(N161/60)*VLOOKUP(C161,Employees!A:J,10,0)*1.5</f>
        <v>0</v>
      </c>
      <c r="P161" s="23">
        <f>IF(G161="غياب",VLOOKUP(C161,Employees!$A$3:$J$36,9,FALSE()),0)</f>
        <v>0</v>
      </c>
    </row>
    <row r="162" spans="1:16" ht="15" customHeight="1">
      <c r="A162" s="17" t="s">
        <v>85</v>
      </c>
      <c r="B162" s="19" t="s">
        <v>71</v>
      </c>
      <c r="C162" s="19" t="s">
        <v>18</v>
      </c>
      <c r="D162" s="19" t="str">
        <f>VLOOKUP(C162,Employees!A:J,2,0)</f>
        <v>يحي طارق</v>
      </c>
      <c r="E162" s="20">
        <v>0.375</v>
      </c>
      <c r="F162" s="20">
        <v>0.875</v>
      </c>
      <c r="G162" s="19" t="s">
        <v>69</v>
      </c>
      <c r="H162" s="30">
        <f>E162</f>
        <v>0.375</v>
      </c>
      <c r="I162" s="30">
        <f>F162</f>
        <v>0.875</v>
      </c>
      <c r="J162" s="22">
        <f t="shared" ref="J162" si="94">IF(OR(H162="",G162="غياب",G162="إجازة أسبوعية"),0,
IF(H162&gt;=E162-TIME(0,20,0),0,
IF(H162&gt;=E162-TIME(0,30,0),30,(E162-H162)*1440)))</f>
        <v>0</v>
      </c>
      <c r="K162" s="47">
        <f>(J162/60)*VLOOKUP(C162,Employees!A:J,10,0)*1.5</f>
        <v>0</v>
      </c>
      <c r="L162" s="22">
        <f t="shared" ref="L162" si="95">IF(OR(H162="",G162="غياب",G162="إجازة أسبوعية"),0,
IF(H162&lt;=E162+TIME(0,30,0),0,
30+((H162-(E162+TIME(0,30,0)))*1440)))</f>
        <v>0</v>
      </c>
      <c r="M162" s="23">
        <f>(L162/60)*VLOOKUP(C162,Employees!A:J,10,0)*2</f>
        <v>0</v>
      </c>
      <c r="N162" s="24">
        <f t="shared" ref="N162" si="96">IF(OR(I162="",G162="غياب",G162="إجازة أسبوعية",I162&lt;=F162),0,
IF(MOD(I162-F162,1)&lt;=TIME(0,25,0),0,MAX(0,(I162-F162)*1440)))</f>
        <v>0</v>
      </c>
      <c r="O162" s="25">
        <f>(N162/60)*VLOOKUP(C162,Employees!A:J,10,0)*1.5</f>
        <v>0</v>
      </c>
      <c r="P162" s="23">
        <f>IF(G162="غياب",VLOOKUP(C162,Employees!$A$3:$J$36,9,FALSE()),0)</f>
        <v>0</v>
      </c>
    </row>
    <row r="163" spans="1:16" ht="15" customHeight="1">
      <c r="A163" s="17" t="s">
        <v>86</v>
      </c>
      <c r="B163" s="19" t="s">
        <v>73</v>
      </c>
      <c r="C163" s="19" t="s">
        <v>18</v>
      </c>
      <c r="D163" s="19" t="str">
        <f>VLOOKUP(C163,Employees!A:J,2,0)</f>
        <v>يحي طارق</v>
      </c>
      <c r="E163" s="20">
        <v>0.375</v>
      </c>
      <c r="F163" s="20">
        <v>0.875</v>
      </c>
      <c r="G163" s="21" t="s">
        <v>69</v>
      </c>
      <c r="H163" s="20">
        <v>0.51527777777777772</v>
      </c>
      <c r="I163" s="20">
        <v>0.91319444444444442</v>
      </c>
      <c r="J163" s="22">
        <f t="shared" ref="J163:J164" si="97">IF(OR(H163="",G163="غياب",G163="إجازة أسبوعية"),0,
IF(H163&gt;=E163-TIME(0,20,0),0,
IF(H163&gt;=E163-TIME(0,30,0),30,(E163-H163)*1440)))</f>
        <v>0</v>
      </c>
      <c r="K163" s="47">
        <f>(J163/60)*VLOOKUP(C163,Employees!A:J,10,0)*1.5</f>
        <v>0</v>
      </c>
      <c r="L163" s="22">
        <f t="shared" ref="L163:L164" si="98">IF(OR(H163="",G163="غياب",G163="إجازة أسبوعية"),0,
IF(H163&lt;=E163+TIME(0,30,0),0,
30+((H163-(E163+TIME(0,30,0)))*1440)))</f>
        <v>201.99999999999994</v>
      </c>
      <c r="M163" s="23">
        <f>(L163/60)*VLOOKUP(C163,Employees!A:J,10,0)*2</f>
        <v>145.47325102880654</v>
      </c>
      <c r="N163" s="24">
        <f t="shared" ref="N163:N164" si="99">IF(OR(I163="",G163="غياب",G163="إجازة أسبوعية",I163&lt;=F163),0,
IF(MOD(I163-F163,1)&lt;=TIME(0,25,0),0,MAX(0,(I163-F163)*1440)))</f>
        <v>54.999999999999964</v>
      </c>
      <c r="O163" s="25">
        <f>(N163/60)*VLOOKUP(C163,Employees!A:J,10,0)*1.5</f>
        <v>29.706790123456766</v>
      </c>
      <c r="P163" s="23">
        <f>IF(G163="غياب",VLOOKUP(C163,Employees!$A$3:$J$36,9,FALSE()),0)</f>
        <v>0</v>
      </c>
    </row>
    <row r="164" spans="1:16" ht="15" customHeight="1">
      <c r="A164" s="17" t="s">
        <v>87</v>
      </c>
      <c r="B164" s="19" t="s">
        <v>75</v>
      </c>
      <c r="C164" s="19" t="s">
        <v>18</v>
      </c>
      <c r="D164" s="19" t="str">
        <f>VLOOKUP(C164,Employees!A:J,2,0)</f>
        <v>يحي طارق</v>
      </c>
      <c r="E164" s="20">
        <v>0.41666666666666702</v>
      </c>
      <c r="F164" s="20">
        <v>0.91666666666666696</v>
      </c>
      <c r="G164" s="21" t="s">
        <v>69</v>
      </c>
      <c r="H164" s="20">
        <v>0.43680555555555556</v>
      </c>
      <c r="I164" s="20">
        <v>0.89652777777777781</v>
      </c>
      <c r="J164" s="22">
        <f t="shared" si="97"/>
        <v>0</v>
      </c>
      <c r="K164" s="47">
        <f>(J164/60)*VLOOKUP(C164,Employees!A:J,10,0)*1.5</f>
        <v>0</v>
      </c>
      <c r="L164" s="22">
        <f t="shared" si="98"/>
        <v>0</v>
      </c>
      <c r="M164" s="23">
        <f>(L164/60)*VLOOKUP(C164,Employees!A:J,10,0)*2</f>
        <v>0</v>
      </c>
      <c r="N164" s="24">
        <f t="shared" si="99"/>
        <v>0</v>
      </c>
      <c r="O164" s="25">
        <f>(N164/60)*VLOOKUP(C164,Employees!A:J,10,0)*1.5</f>
        <v>0</v>
      </c>
      <c r="P164" s="23">
        <f>IF(G164="غياب",VLOOKUP(C164,Employees!$A$3:$J$36,9,FALSE()),0)</f>
        <v>0</v>
      </c>
    </row>
    <row r="165" spans="1:16" ht="15" customHeight="1">
      <c r="A165" s="26" t="s">
        <v>88</v>
      </c>
      <c r="B165" s="28" t="s">
        <v>77</v>
      </c>
      <c r="C165" s="28" t="s">
        <v>18</v>
      </c>
      <c r="D165" s="28" t="str">
        <f>VLOOKUP(C165,Employees!A:J,2,0)</f>
        <v>يحي طارق</v>
      </c>
      <c r="E165" s="29" t="s">
        <v>78</v>
      </c>
      <c r="F165" s="29" t="s">
        <v>78</v>
      </c>
      <c r="G165" s="27" t="s">
        <v>79</v>
      </c>
      <c r="H165" s="29" t="s">
        <v>78</v>
      </c>
      <c r="I165" s="29" t="s">
        <v>78</v>
      </c>
      <c r="J165" s="22" t="s">
        <v>78</v>
      </c>
      <c r="K165" s="47" t="s">
        <v>78</v>
      </c>
      <c r="L165" s="22" t="s">
        <v>78</v>
      </c>
      <c r="M165" s="23" t="s">
        <v>78</v>
      </c>
      <c r="N165" s="24" t="s">
        <v>78</v>
      </c>
      <c r="O165" s="24" t="s">
        <v>78</v>
      </c>
      <c r="P165" s="23">
        <f>IF(G165="غياب",VLOOKUP(C165,Employees!$A$3:$J$36,9,FALSE()),0)</f>
        <v>0</v>
      </c>
    </row>
    <row r="166" spans="1:16" ht="15" customHeight="1">
      <c r="A166" s="26" t="s">
        <v>89</v>
      </c>
      <c r="B166" s="28" t="s">
        <v>81</v>
      </c>
      <c r="C166" s="28" t="s">
        <v>18</v>
      </c>
      <c r="D166" s="28" t="str">
        <f>VLOOKUP(C166,Employees!A:J,2,0)</f>
        <v>يحي طارق</v>
      </c>
      <c r="E166" s="29" t="s">
        <v>78</v>
      </c>
      <c r="F166" s="29" t="s">
        <v>78</v>
      </c>
      <c r="G166" s="27" t="s">
        <v>79</v>
      </c>
      <c r="H166" s="29" t="s">
        <v>78</v>
      </c>
      <c r="I166" s="29" t="s">
        <v>78</v>
      </c>
      <c r="J166" s="22" t="s">
        <v>78</v>
      </c>
      <c r="K166" s="47" t="s">
        <v>78</v>
      </c>
      <c r="L166" s="22" t="s">
        <v>78</v>
      </c>
      <c r="M166" s="23" t="s">
        <v>78</v>
      </c>
      <c r="N166" s="24" t="s">
        <v>78</v>
      </c>
      <c r="O166" s="24" t="s">
        <v>78</v>
      </c>
      <c r="P166" s="23">
        <f>IF(G166="غياب",VLOOKUP(C166,Employees!$A$3:$J$36,9,FALSE()),0)</f>
        <v>0</v>
      </c>
    </row>
    <row r="167" spans="1:16" ht="15" customHeight="1">
      <c r="A167" s="17" t="s">
        <v>90</v>
      </c>
      <c r="B167" s="19" t="s">
        <v>83</v>
      </c>
      <c r="C167" s="19" t="s">
        <v>18</v>
      </c>
      <c r="D167" s="19" t="str">
        <f>VLOOKUP(C167,Employees!A:J,2,0)</f>
        <v>يحي طارق</v>
      </c>
      <c r="E167" s="20">
        <v>0.41666666666666702</v>
      </c>
      <c r="F167" s="20">
        <v>0.91666666666666696</v>
      </c>
      <c r="G167" s="21" t="s">
        <v>69</v>
      </c>
      <c r="H167" s="20">
        <v>0.48888888888888887</v>
      </c>
      <c r="I167" s="20">
        <v>0.91319444444444442</v>
      </c>
      <c r="J167" s="22">
        <f t="shared" ref="J167:J169" si="100">IF(OR(H167="",G167="غياب",G167="إجازة أسبوعية"),0,
IF(H167&gt;=E167-TIME(0,20,0),0,
IF(H167&gt;=E167-TIME(0,30,0),30,(E167-H167)*1440)))</f>
        <v>0</v>
      </c>
      <c r="K167" s="47">
        <f>(J167/60)*VLOOKUP(C167,Employees!A:J,10,0)*1.5</f>
        <v>0</v>
      </c>
      <c r="L167" s="22">
        <f t="shared" ref="L167:L169" si="101">IF(OR(H167="",G167="غياب",G167="إجازة أسبوعية"),0,
IF(H167&lt;=E167+TIME(0,30,0),0,
30+((H167-(E167+TIME(0,30,0)))*1440)))</f>
        <v>103.9999999999995</v>
      </c>
      <c r="M167" s="23">
        <f>(L167/60)*VLOOKUP(C167,Employees!A:J,10,0)*2</f>
        <v>74.897119341563425</v>
      </c>
      <c r="N167" s="24">
        <f t="shared" ref="N167:N169" si="102">IF(OR(I167="",G167="غياب",G167="إجازة أسبوعية",I167&lt;=F167),0,
IF(MOD(I167-F167,1)&lt;=TIME(0,25,0),0,MAX(0,(I167-F167)*1440)))</f>
        <v>0</v>
      </c>
      <c r="O167" s="25">
        <f>(N167/60)*VLOOKUP(C167,Employees!A:J,10,0)*1.5</f>
        <v>0</v>
      </c>
      <c r="P167" s="23">
        <f>IF(G167="غياب",VLOOKUP(C167,Employees!$A$3:$J$36,9,FALSE()),0)</f>
        <v>0</v>
      </c>
    </row>
    <row r="168" spans="1:16" ht="15" customHeight="1">
      <c r="A168" s="17" t="s">
        <v>91</v>
      </c>
      <c r="B168" s="19" t="s">
        <v>68</v>
      </c>
      <c r="C168" s="19" t="s">
        <v>18</v>
      </c>
      <c r="D168" s="19" t="str">
        <f>VLOOKUP(C168,Employees!A:J,2,0)</f>
        <v>يحي طارق</v>
      </c>
      <c r="E168" s="20">
        <v>0.41666666666666702</v>
      </c>
      <c r="F168" s="20">
        <v>0.91666666666666696</v>
      </c>
      <c r="G168" s="21" t="s">
        <v>69</v>
      </c>
      <c r="H168" s="20">
        <v>0.47222222222222221</v>
      </c>
      <c r="I168" s="20">
        <v>0.91249999999999998</v>
      </c>
      <c r="J168" s="22">
        <f t="shared" si="100"/>
        <v>0</v>
      </c>
      <c r="K168" s="47">
        <f>(J168/60)*VLOOKUP(C168,Employees!A:J,10,0)*1.5</f>
        <v>0</v>
      </c>
      <c r="L168" s="22">
        <f t="shared" si="101"/>
        <v>79.999999999999503</v>
      </c>
      <c r="M168" s="23">
        <f>(L168/60)*VLOOKUP(C168,Employees!A:J,10,0)*2</f>
        <v>57.613168724279475</v>
      </c>
      <c r="N168" s="24">
        <f t="shared" si="102"/>
        <v>0</v>
      </c>
      <c r="O168" s="25">
        <f>(N168/60)*VLOOKUP(C168,Employees!A:J,10,0)*1.5</f>
        <v>0</v>
      </c>
      <c r="P168" s="23">
        <f>IF(G168="غياب",VLOOKUP(C168,Employees!$A$3:$J$36,9,FALSE()),0)</f>
        <v>0</v>
      </c>
    </row>
    <row r="169" spans="1:16" ht="15" customHeight="1">
      <c r="A169" s="17" t="s">
        <v>92</v>
      </c>
      <c r="B169" s="19" t="s">
        <v>71</v>
      </c>
      <c r="C169" s="19" t="s">
        <v>18</v>
      </c>
      <c r="D169" s="19" t="str">
        <f>VLOOKUP(C169,Employees!A:J,2,0)</f>
        <v>يحي طارق</v>
      </c>
      <c r="E169" s="20">
        <v>0.41666666666666702</v>
      </c>
      <c r="F169" s="20">
        <v>0.91666666666666696</v>
      </c>
      <c r="G169" s="21" t="s">
        <v>69</v>
      </c>
      <c r="H169" s="20">
        <v>0.46666666666666667</v>
      </c>
      <c r="I169" s="20">
        <v>0.90694444444444444</v>
      </c>
      <c r="J169" s="22">
        <f t="shared" si="100"/>
        <v>0</v>
      </c>
      <c r="K169" s="47">
        <f>(J169/60)*VLOOKUP(C169,Employees!A:J,10,0)*1.5</f>
        <v>0</v>
      </c>
      <c r="L169" s="22">
        <f t="shared" si="101"/>
        <v>71.999999999999531</v>
      </c>
      <c r="M169" s="23">
        <f>(L169/60)*VLOOKUP(C169,Employees!A:J,10,0)*2</f>
        <v>51.851851851851507</v>
      </c>
      <c r="N169" s="24">
        <f t="shared" si="102"/>
        <v>0</v>
      </c>
      <c r="O169" s="25">
        <f>(N169/60)*VLOOKUP(C169,Employees!A:J,10,0)*1.5</f>
        <v>0</v>
      </c>
      <c r="P169" s="23">
        <f>IF(G169="غياب",VLOOKUP(C169,Employees!$A$3:$J$36,9,FALSE()),0)</f>
        <v>0</v>
      </c>
    </row>
    <row r="170" spans="1:16" ht="15" customHeight="1">
      <c r="A170" s="48" t="s">
        <v>93</v>
      </c>
      <c r="B170" s="49" t="s">
        <v>73</v>
      </c>
      <c r="C170" s="49" t="s">
        <v>18</v>
      </c>
      <c r="D170" s="49" t="str">
        <f>VLOOKUP(C170,Employees!A:J,2,0)</f>
        <v>يحي طارق</v>
      </c>
      <c r="E170" s="50">
        <v>0.41666666666666702</v>
      </c>
      <c r="F170" s="50">
        <v>0.91666666666666696</v>
      </c>
      <c r="G170" s="51" t="s">
        <v>130</v>
      </c>
      <c r="H170" s="52" t="s">
        <v>78</v>
      </c>
      <c r="I170" s="52" t="s">
        <v>78</v>
      </c>
      <c r="J170" s="22">
        <f t="shared" ref="J170:J190" si="103">IF(OR(G170="غياب",G170="إجازة أسبوعية"),0,
IF(H170&gt;=E170-TIME(0,20,0),0,
IF(H170&gt;=E170-TIME(0,30,0),30,(E170-H170)*1440)))</f>
        <v>0</v>
      </c>
      <c r="K170" s="47">
        <f>(J170/60)*VLOOKUP(C170,Employees!A:J,10,0)*1.5</f>
        <v>0</v>
      </c>
      <c r="L170" s="22" t="s">
        <v>78</v>
      </c>
      <c r="M170" s="23" t="s">
        <v>78</v>
      </c>
      <c r="N170" s="24" t="s">
        <v>78</v>
      </c>
      <c r="O170" s="25" t="s">
        <v>78</v>
      </c>
      <c r="P170" s="23">
        <f>IF(G170="غياب",VLOOKUP(C170,Employees!$A$3:$J$36,9,FALSE()),0)</f>
        <v>259.25925925925924</v>
      </c>
    </row>
    <row r="171" spans="1:16" ht="15" customHeight="1">
      <c r="A171" s="17" t="s">
        <v>94</v>
      </c>
      <c r="B171" s="19" t="s">
        <v>75</v>
      </c>
      <c r="C171" s="19" t="s">
        <v>18</v>
      </c>
      <c r="D171" s="19" t="str">
        <f>VLOOKUP(C171,Employees!A:J,2,0)</f>
        <v>يحي طارق</v>
      </c>
      <c r="E171" s="20">
        <v>0.41666666666666702</v>
      </c>
      <c r="F171" s="20">
        <v>0.91666666666666696</v>
      </c>
      <c r="G171" s="21" t="s">
        <v>69</v>
      </c>
      <c r="H171" s="30">
        <v>0.46111111111111114</v>
      </c>
      <c r="I171" s="20">
        <v>0.91874999999999996</v>
      </c>
      <c r="J171" s="22">
        <f>IF(OR(H171="",G171="غياب",G171="إجازة أسبوعية"),0,
IF(H171&gt;=E171-TIME(0,20,0),0,
IF(H171&gt;=E171-TIME(0,30,0),30,(E171-H171)*1440)))</f>
        <v>0</v>
      </c>
      <c r="K171" s="47">
        <f>(J171/60)*VLOOKUP(C171,Employees!A:J,10,0)*1.5</f>
        <v>0</v>
      </c>
      <c r="L171" s="22">
        <f>IF(OR(H171="",G171="غياب",G171="إجازة أسبوعية"),0,
IF(H171&lt;=E171+TIME(0,30,0),0,
30+((H171-(E171+TIME(0,30,0)))*1440)))</f>
        <v>63.999999999999559</v>
      </c>
      <c r="M171" s="23">
        <f>(L171/60)*VLOOKUP(C171,Employees!A:J,10,0)*2</f>
        <v>46.090534979423545</v>
      </c>
      <c r="N171" s="24">
        <f>IF(OR(I171="",G171="غياب",G171="إجازة أسبوعية",I171&lt;=F171),0,
IF(MOD(I171-F171,1)&lt;=TIME(0,25,0),0,MAX(0,(I171-F171)*1440)))</f>
        <v>0</v>
      </c>
      <c r="O171" s="25">
        <f>(N171/60)*VLOOKUP(C171,Employees!A:J,10,0)*1.5</f>
        <v>0</v>
      </c>
      <c r="P171" s="23">
        <f>IF(G171="غياب",VLOOKUP(C171,Employees!$A$3:$J$36,9,FALSE()),0)</f>
        <v>0</v>
      </c>
    </row>
    <row r="172" spans="1:16" ht="15" customHeight="1">
      <c r="A172" s="26" t="s">
        <v>95</v>
      </c>
      <c r="B172" s="28" t="s">
        <v>77</v>
      </c>
      <c r="C172" s="28" t="s">
        <v>18</v>
      </c>
      <c r="D172" s="28" t="str">
        <f>VLOOKUP(C172,Employees!A:J,2,0)</f>
        <v>يحي طارق</v>
      </c>
      <c r="E172" s="29" t="s">
        <v>78</v>
      </c>
      <c r="F172" s="29" t="s">
        <v>78</v>
      </c>
      <c r="G172" s="27" t="s">
        <v>79</v>
      </c>
      <c r="H172" s="29" t="s">
        <v>78</v>
      </c>
      <c r="I172" s="29" t="s">
        <v>78</v>
      </c>
      <c r="J172" s="22" t="s">
        <v>78</v>
      </c>
      <c r="K172" s="47" t="s">
        <v>78</v>
      </c>
      <c r="L172" s="22" t="s">
        <v>78</v>
      </c>
      <c r="M172" s="23" t="s">
        <v>78</v>
      </c>
      <c r="N172" s="24" t="s">
        <v>78</v>
      </c>
      <c r="O172" s="24" t="s">
        <v>78</v>
      </c>
      <c r="P172" s="23">
        <f>IF(G172="غياب",VLOOKUP(C172,Employees!$A$3:$J$36,9,FALSE()),0)</f>
        <v>0</v>
      </c>
    </row>
    <row r="173" spans="1:16" ht="15" customHeight="1">
      <c r="A173" s="48" t="s">
        <v>96</v>
      </c>
      <c r="B173" s="49" t="s">
        <v>81</v>
      </c>
      <c r="C173" s="49" t="s">
        <v>18</v>
      </c>
      <c r="D173" s="49" t="str">
        <f>VLOOKUP(C173,Employees!A:J,2,0)</f>
        <v>يحي طارق</v>
      </c>
      <c r="E173" s="50">
        <v>0.41666666666666702</v>
      </c>
      <c r="F173" s="50">
        <v>0.91666666666666696</v>
      </c>
      <c r="G173" s="51" t="s">
        <v>130</v>
      </c>
      <c r="H173" s="52" t="s">
        <v>78</v>
      </c>
      <c r="I173" s="52" t="s">
        <v>78</v>
      </c>
      <c r="J173" s="22">
        <f t="shared" si="103"/>
        <v>0</v>
      </c>
      <c r="K173" s="47">
        <f>(J173/60)*VLOOKUP(C173,Employees!A:J,10,0)*1.5</f>
        <v>0</v>
      </c>
      <c r="L173" s="22" t="s">
        <v>78</v>
      </c>
      <c r="M173" s="23" t="s">
        <v>78</v>
      </c>
      <c r="N173" s="24" t="s">
        <v>78</v>
      </c>
      <c r="O173" s="25" t="s">
        <v>78</v>
      </c>
      <c r="P173" s="23">
        <f>IF(G173="غياب",VLOOKUP(C173,Employees!$A$3:$J$36,9,FALSE()),0)</f>
        <v>259.25925925925924</v>
      </c>
    </row>
    <row r="174" spans="1:16" ht="15" customHeight="1">
      <c r="A174" s="17" t="s">
        <v>97</v>
      </c>
      <c r="B174" s="19" t="s">
        <v>83</v>
      </c>
      <c r="C174" s="19" t="s">
        <v>18</v>
      </c>
      <c r="D174" s="19" t="str">
        <f>VLOOKUP(C174,Employees!A:J,2,0)</f>
        <v>يحي طارق</v>
      </c>
      <c r="E174" s="20">
        <v>0.41666666666666702</v>
      </c>
      <c r="F174" s="20">
        <v>0.91666666666666696</v>
      </c>
      <c r="G174" s="21" t="s">
        <v>69</v>
      </c>
      <c r="H174" s="30">
        <v>0.55208333333333337</v>
      </c>
      <c r="I174" s="20">
        <v>0.91319444444444442</v>
      </c>
      <c r="J174" s="22">
        <f t="shared" ref="J174:J178" si="104">IF(OR(H174="",G174="غياب",G174="إجازة أسبوعية"),0,
IF(H174&gt;=E174-TIME(0,20,0),0,
IF(H174&gt;=E174-TIME(0,30,0),30,(E174-H174)*1440)))</f>
        <v>0</v>
      </c>
      <c r="K174" s="47">
        <f>(J174/60)*VLOOKUP(C174,Employees!A:J,10,0)*1.5</f>
        <v>0</v>
      </c>
      <c r="L174" s="22">
        <f t="shared" ref="L174:L178" si="105">IF(OR(H174="",G174="غياب",G174="إجازة أسبوعية"),0,
IF(H174&lt;=E174+TIME(0,30,0),0,
30+((H174-(E174+TIME(0,30,0)))*1440)))</f>
        <v>194.99999999999957</v>
      </c>
      <c r="M174" s="23">
        <f>(L174/60)*VLOOKUP(C174,Employees!A:J,10,0)*2</f>
        <v>140.43209876543179</v>
      </c>
      <c r="N174" s="24">
        <f t="shared" ref="N174:N178" si="106">IF(OR(I174="",G174="غياب",G174="إجازة أسبوعية",I174&lt;=F174),0,
IF(MOD(I174-F174,1)&lt;=TIME(0,25,0),0,MAX(0,(I174-F174)*1440)))</f>
        <v>0</v>
      </c>
      <c r="O174" s="25">
        <f>(N174/60)*VLOOKUP(C174,Employees!A:J,10,0)*1.5</f>
        <v>0</v>
      </c>
      <c r="P174" s="23">
        <f>IF(G174="غياب",VLOOKUP(C174,Employees!$A$3:$J$36,9,FALSE()),0)</f>
        <v>0</v>
      </c>
    </row>
    <row r="175" spans="1:16" ht="15" customHeight="1">
      <c r="A175" s="17" t="s">
        <v>98</v>
      </c>
      <c r="B175" s="19" t="s">
        <v>68</v>
      </c>
      <c r="C175" s="19" t="s">
        <v>18</v>
      </c>
      <c r="D175" s="19" t="str">
        <f>VLOOKUP(C175,Employees!A:J,2,0)</f>
        <v>يحي طارق</v>
      </c>
      <c r="E175" s="20">
        <v>0.41666666666666702</v>
      </c>
      <c r="F175" s="20">
        <v>0.91666666666666696</v>
      </c>
      <c r="G175" s="21" t="s">
        <v>69</v>
      </c>
      <c r="H175" s="30">
        <v>0.49236111111111114</v>
      </c>
      <c r="I175" s="20">
        <v>0.92152777777777772</v>
      </c>
      <c r="J175" s="22">
        <f t="shared" si="104"/>
        <v>0</v>
      </c>
      <c r="K175" s="47">
        <f>(J175/60)*VLOOKUP(C175,Employees!A:J,10,0)*1.5</f>
        <v>0</v>
      </c>
      <c r="L175" s="22">
        <f t="shared" si="105"/>
        <v>108.99999999999956</v>
      </c>
      <c r="M175" s="23">
        <f>(L175/60)*VLOOKUP(C175,Employees!A:J,10,0)*2</f>
        <v>78.497942386830957</v>
      </c>
      <c r="N175" s="24">
        <f t="shared" si="106"/>
        <v>0</v>
      </c>
      <c r="O175" s="25">
        <f>(N175/60)*VLOOKUP(C175,Employees!A:J,10,0)*1.5</f>
        <v>0</v>
      </c>
      <c r="P175" s="23">
        <f>IF(G175="غياب",VLOOKUP(C175,Employees!$A$3:$J$36,9,FALSE()),0)</f>
        <v>0</v>
      </c>
    </row>
    <row r="176" spans="1:16" ht="15" customHeight="1">
      <c r="A176" s="17" t="s">
        <v>99</v>
      </c>
      <c r="B176" s="19" t="s">
        <v>71</v>
      </c>
      <c r="C176" s="19" t="s">
        <v>18</v>
      </c>
      <c r="D176" s="19" t="str">
        <f>VLOOKUP(C176,Employees!A:J,2,0)</f>
        <v>يحي طارق</v>
      </c>
      <c r="E176" s="20">
        <v>0.41666666666666702</v>
      </c>
      <c r="F176" s="20">
        <v>0.91666666666666696</v>
      </c>
      <c r="G176" s="21" t="s">
        <v>69</v>
      </c>
      <c r="H176" s="30">
        <v>0.5</v>
      </c>
      <c r="I176" s="20">
        <v>0.91666666666666663</v>
      </c>
      <c r="J176" s="22">
        <f t="shared" si="104"/>
        <v>0</v>
      </c>
      <c r="K176" s="47">
        <f>(J176/60)*VLOOKUP(C176,Employees!A:J,10,0)*1.5</f>
        <v>0</v>
      </c>
      <c r="L176" s="22">
        <f t="shared" si="105"/>
        <v>119.99999999999952</v>
      </c>
      <c r="M176" s="23">
        <f>(L176/60)*VLOOKUP(C176,Employees!A:J,10,0)*2</f>
        <v>86.419753086419405</v>
      </c>
      <c r="N176" s="24">
        <f t="shared" si="106"/>
        <v>0</v>
      </c>
      <c r="O176" s="25">
        <f>(N176/60)*VLOOKUP(C176,Employees!A:J,10,0)*1.5</f>
        <v>0</v>
      </c>
      <c r="P176" s="23">
        <f>IF(G176="غياب",VLOOKUP(C176,Employees!$A$3:$J$36,9,FALSE()),0)</f>
        <v>0</v>
      </c>
    </row>
    <row r="177" spans="1:16" ht="15" customHeight="1">
      <c r="A177" s="17" t="s">
        <v>100</v>
      </c>
      <c r="B177" s="19" t="s">
        <v>73</v>
      </c>
      <c r="C177" s="19" t="s">
        <v>18</v>
      </c>
      <c r="D177" s="19" t="str">
        <f>VLOOKUP(C177,Employees!A:J,2,0)</f>
        <v>يحي طارق</v>
      </c>
      <c r="E177" s="20">
        <v>0.375</v>
      </c>
      <c r="F177" s="30">
        <v>0.875</v>
      </c>
      <c r="G177" s="21" t="s">
        <v>69</v>
      </c>
      <c r="H177" s="30">
        <v>0.53125</v>
      </c>
      <c r="I177" s="20">
        <v>0.87986111111111109</v>
      </c>
      <c r="J177" s="22">
        <f t="shared" si="104"/>
        <v>0</v>
      </c>
      <c r="K177" s="47">
        <f>(J177/60)*VLOOKUP(C177,Employees!A:J,10,0)*1.5</f>
        <v>0</v>
      </c>
      <c r="L177" s="22">
        <f t="shared" si="105"/>
        <v>225.00000000000003</v>
      </c>
      <c r="M177" s="23">
        <f>(L177/60)*VLOOKUP(C177,Employees!A:J,10,0)*2</f>
        <v>162.03703703703704</v>
      </c>
      <c r="N177" s="24">
        <f t="shared" si="106"/>
        <v>0</v>
      </c>
      <c r="O177" s="25">
        <f>(N177/60)*VLOOKUP(C177,Employees!A:J,10,0)*1.5</f>
        <v>0</v>
      </c>
      <c r="P177" s="23">
        <f>IF(G177="غياب",VLOOKUP(C177,Employees!$A$3:$J$36,9,FALSE()),0)</f>
        <v>0</v>
      </c>
    </row>
    <row r="178" spans="1:16" ht="15" customHeight="1">
      <c r="A178" s="17" t="s">
        <v>101</v>
      </c>
      <c r="B178" s="19" t="s">
        <v>75</v>
      </c>
      <c r="C178" s="19" t="s">
        <v>18</v>
      </c>
      <c r="D178" s="19" t="str">
        <f>VLOOKUP(C178,Employees!A:J,2,0)</f>
        <v>يحي طارق</v>
      </c>
      <c r="E178" s="20">
        <v>0.375</v>
      </c>
      <c r="F178" s="30">
        <v>0.875</v>
      </c>
      <c r="G178" s="21" t="s">
        <v>69</v>
      </c>
      <c r="H178" s="30">
        <v>0.45833333333333331</v>
      </c>
      <c r="I178" s="20">
        <v>0.90902777777777777</v>
      </c>
      <c r="J178" s="22">
        <f t="shared" si="104"/>
        <v>0</v>
      </c>
      <c r="K178" s="47">
        <f>(J178/60)*VLOOKUP(C178,Employees!A:J,10,0)*1.5</f>
        <v>0</v>
      </c>
      <c r="L178" s="22">
        <f t="shared" si="105"/>
        <v>120</v>
      </c>
      <c r="M178" s="23">
        <f>(L178/60)*VLOOKUP(C178,Employees!A:J,10,0)*2</f>
        <v>86.419753086419746</v>
      </c>
      <c r="N178" s="24">
        <f t="shared" si="106"/>
        <v>48.999999999999986</v>
      </c>
      <c r="O178" s="25">
        <f>(N178/60)*VLOOKUP(C178,Employees!A:J,10,0)*1.5</f>
        <v>26.466049382716044</v>
      </c>
      <c r="P178" s="23">
        <f>IF(G178="غياب",VLOOKUP(C178,Employees!$A$3:$J$36,9,FALSE()),0)</f>
        <v>0</v>
      </c>
    </row>
    <row r="179" spans="1:16" ht="15" customHeight="1">
      <c r="A179" s="26" t="s">
        <v>102</v>
      </c>
      <c r="B179" s="28" t="s">
        <v>77</v>
      </c>
      <c r="C179" s="28" t="s">
        <v>18</v>
      </c>
      <c r="D179" s="28" t="str">
        <f>VLOOKUP(C179,Employees!A:J,2,0)</f>
        <v>يحي طارق</v>
      </c>
      <c r="E179" s="29" t="s">
        <v>78</v>
      </c>
      <c r="F179" s="29" t="s">
        <v>78</v>
      </c>
      <c r="G179" s="27" t="s">
        <v>79</v>
      </c>
      <c r="H179" s="29" t="s">
        <v>78</v>
      </c>
      <c r="I179" s="29" t="s">
        <v>78</v>
      </c>
      <c r="J179" s="22" t="s">
        <v>78</v>
      </c>
      <c r="K179" s="47" t="s">
        <v>78</v>
      </c>
      <c r="L179" s="22" t="s">
        <v>78</v>
      </c>
      <c r="M179" s="23" t="s">
        <v>78</v>
      </c>
      <c r="N179" s="24" t="s">
        <v>78</v>
      </c>
      <c r="O179" s="24" t="s">
        <v>78</v>
      </c>
      <c r="P179" s="23">
        <f>IF(G179="غياب",VLOOKUP(C179,Employees!$A$3:$J$36,9,FALSE()),0)</f>
        <v>0</v>
      </c>
    </row>
    <row r="180" spans="1:16" ht="15" customHeight="1">
      <c r="A180" s="48" t="s">
        <v>103</v>
      </c>
      <c r="B180" s="49" t="s">
        <v>81</v>
      </c>
      <c r="C180" s="49" t="s">
        <v>18</v>
      </c>
      <c r="D180" s="49" t="str">
        <f>VLOOKUP(C180,Employees!A:J,2,0)</f>
        <v>يحي طارق</v>
      </c>
      <c r="E180" s="50">
        <v>0.375</v>
      </c>
      <c r="F180" s="50">
        <v>0.875</v>
      </c>
      <c r="G180" s="51" t="s">
        <v>130</v>
      </c>
      <c r="H180" s="52" t="s">
        <v>78</v>
      </c>
      <c r="I180" s="52" t="s">
        <v>78</v>
      </c>
      <c r="J180" s="22">
        <f t="shared" si="103"/>
        <v>0</v>
      </c>
      <c r="K180" s="47">
        <f>(J180/60)*VLOOKUP(C180,Employees!A:J,10,0)*1.5</f>
        <v>0</v>
      </c>
      <c r="L180" s="22" t="s">
        <v>78</v>
      </c>
      <c r="M180" s="23" t="s">
        <v>78</v>
      </c>
      <c r="N180" s="24" t="s">
        <v>78</v>
      </c>
      <c r="O180" s="25" t="s">
        <v>78</v>
      </c>
      <c r="P180" s="23">
        <f>IF(G180="غياب",VLOOKUP(C180,Employees!$A$3:$J$36,9,FALSE()),0)</f>
        <v>259.25925925925924</v>
      </c>
    </row>
    <row r="181" spans="1:16" ht="15" customHeight="1">
      <c r="A181" s="17" t="s">
        <v>104</v>
      </c>
      <c r="B181" s="19" t="s">
        <v>83</v>
      </c>
      <c r="C181" s="19" t="s">
        <v>18</v>
      </c>
      <c r="D181" s="19" t="str">
        <f>VLOOKUP(C181,Employees!A:J,2,0)</f>
        <v>يحي طارق</v>
      </c>
      <c r="E181" s="20">
        <v>0.375</v>
      </c>
      <c r="F181" s="20">
        <v>0.875</v>
      </c>
      <c r="G181" s="21" t="s">
        <v>69</v>
      </c>
      <c r="H181" s="30">
        <v>0.47569444444444442</v>
      </c>
      <c r="I181" s="20">
        <v>0.99375000000000002</v>
      </c>
      <c r="J181" s="22">
        <f t="shared" ref="J181:J187" si="107">IF(OR(H181="",G181="غياب",G181="إجازة أسبوعية"),0,
IF(H181&gt;=E181-TIME(0,20,0),0,
IF(H181&gt;=E181-TIME(0,30,0),30,(E181-H181)*1440)))</f>
        <v>0</v>
      </c>
      <c r="K181" s="47">
        <f>(J181/60)*VLOOKUP(C181,Employees!A:J,10,0)*1.5</f>
        <v>0</v>
      </c>
      <c r="L181" s="22">
        <f t="shared" ref="L181:L187" si="108">IF(OR(H181="",G181="غياب",G181="إجازة أسبوعية"),0,
IF(H181&lt;=E181+TIME(0,30,0),0,
30+((H181-(E181+TIME(0,30,0)))*1440)))</f>
        <v>145</v>
      </c>
      <c r="M181" s="23">
        <f>(L181/60)*VLOOKUP(C181,Employees!A:J,10,0)*2</f>
        <v>104.42386831275719</v>
      </c>
      <c r="N181" s="24">
        <f t="shared" ref="N181:N187" si="109">IF(OR(I181="",G181="غياب",G181="إجازة أسبوعية",I181&lt;=F181),0,
IF(MOD(I181-F181,1)&lt;=TIME(0,25,0),0,MAX(0,(I181-F181)*1440)))</f>
        <v>171.00000000000003</v>
      </c>
      <c r="O181" s="25">
        <f>(N181/60)*VLOOKUP(C181,Employees!A:J,10,0)*1.5</f>
        <v>92.361111111111128</v>
      </c>
      <c r="P181" s="23">
        <f>IF(G181="غياب",VLOOKUP(C181,Employees!$A$3:$J$36,9,FALSE()),0)</f>
        <v>0</v>
      </c>
    </row>
    <row r="182" spans="1:16" ht="15" customHeight="1">
      <c r="A182" s="17" t="s">
        <v>105</v>
      </c>
      <c r="B182" s="19" t="s">
        <v>68</v>
      </c>
      <c r="C182" s="19" t="s">
        <v>18</v>
      </c>
      <c r="D182" s="19" t="str">
        <f>VLOOKUP(C182,Employees!A:J,2,0)</f>
        <v>يحي طارق</v>
      </c>
      <c r="E182" s="20">
        <v>0.375</v>
      </c>
      <c r="F182" s="20">
        <v>0.875</v>
      </c>
      <c r="G182" s="21" t="s">
        <v>69</v>
      </c>
      <c r="H182" s="30">
        <v>0.50972222222222219</v>
      </c>
      <c r="I182" s="20">
        <v>0.93402777777777779</v>
      </c>
      <c r="J182" s="22">
        <f t="shared" si="107"/>
        <v>0</v>
      </c>
      <c r="K182" s="47">
        <f>(J182/60)*VLOOKUP(C182,Employees!A:J,10,0)*1.5</f>
        <v>0</v>
      </c>
      <c r="L182" s="22">
        <f t="shared" si="108"/>
        <v>193.99999999999997</v>
      </c>
      <c r="M182" s="23">
        <f>(L182/60)*VLOOKUP(C182,Employees!A:J,10,0)*2</f>
        <v>139.71193415637856</v>
      </c>
      <c r="N182" s="24">
        <f t="shared" si="109"/>
        <v>85.000000000000014</v>
      </c>
      <c r="O182" s="25">
        <f>(N182/60)*VLOOKUP(C182,Employees!A:J,10,0)*1.5</f>
        <v>45.910493827160501</v>
      </c>
      <c r="P182" s="23">
        <f>IF(G182="غياب",VLOOKUP(C182,Employees!$A$3:$J$36,9,FALSE()),0)</f>
        <v>0</v>
      </c>
    </row>
    <row r="183" spans="1:16" ht="15" customHeight="1">
      <c r="A183" s="17" t="s">
        <v>106</v>
      </c>
      <c r="B183" s="19" t="s">
        <v>71</v>
      </c>
      <c r="C183" s="19" t="s">
        <v>18</v>
      </c>
      <c r="D183" s="19" t="str">
        <f>VLOOKUP(C183,Employees!A:J,2,0)</f>
        <v>يحي طارق</v>
      </c>
      <c r="E183" s="20">
        <v>0.375</v>
      </c>
      <c r="F183" s="20">
        <v>0.875</v>
      </c>
      <c r="G183" s="21" t="s">
        <v>69</v>
      </c>
      <c r="H183" s="30">
        <v>0.5</v>
      </c>
      <c r="I183" s="20">
        <v>0.875</v>
      </c>
      <c r="J183" s="22">
        <f t="shared" si="107"/>
        <v>0</v>
      </c>
      <c r="K183" s="47">
        <f>(J183/60)*VLOOKUP(C183,Employees!A:J,10,0)*1.5</f>
        <v>0</v>
      </c>
      <c r="L183" s="22">
        <f t="shared" si="108"/>
        <v>180.00000000000003</v>
      </c>
      <c r="M183" s="23">
        <f>(L183/60)*VLOOKUP(C183,Employees!A:J,10,0)*2</f>
        <v>129.62962962962965</v>
      </c>
      <c r="N183" s="24">
        <f t="shared" si="109"/>
        <v>0</v>
      </c>
      <c r="O183" s="25">
        <f>(N183/60)*VLOOKUP(C183,Employees!A:J,10,0)*1.5</f>
        <v>0</v>
      </c>
      <c r="P183" s="23">
        <f>IF(G183="غياب",VLOOKUP(C183,Employees!$A$3:$J$36,9,FALSE()),0)</f>
        <v>0</v>
      </c>
    </row>
    <row r="184" spans="1:16" ht="15" customHeight="1">
      <c r="A184" s="17" t="s">
        <v>67</v>
      </c>
      <c r="B184" s="19" t="s">
        <v>68</v>
      </c>
      <c r="C184" s="19" t="s">
        <v>19</v>
      </c>
      <c r="D184" s="19" t="str">
        <f>VLOOKUP(C184,Employees!A:J,2,0)</f>
        <v>عابدين محمد</v>
      </c>
      <c r="E184" s="20">
        <v>0.375</v>
      </c>
      <c r="F184" s="20">
        <v>0.875</v>
      </c>
      <c r="G184" s="21" t="s">
        <v>69</v>
      </c>
      <c r="H184" s="30">
        <v>0.46527777777777779</v>
      </c>
      <c r="I184" s="20">
        <v>0.86527777777777781</v>
      </c>
      <c r="J184" s="22">
        <f t="shared" si="107"/>
        <v>0</v>
      </c>
      <c r="K184" s="47">
        <f>(J184/60)*VLOOKUP(C184,Employees!A:J,10,0)*1.5</f>
        <v>0</v>
      </c>
      <c r="L184" s="22">
        <f t="shared" si="108"/>
        <v>130.00000000000006</v>
      </c>
      <c r="M184" s="23">
        <f>(L184/60)*VLOOKUP(C184,Employees!A:J,10,0)*2</f>
        <v>93.621399176954753</v>
      </c>
      <c r="N184" s="24">
        <f t="shared" si="109"/>
        <v>0</v>
      </c>
      <c r="O184" s="25">
        <f>(N184/60)*VLOOKUP(C184,Employees!A:J,10,0)*1.5</f>
        <v>0</v>
      </c>
      <c r="P184" s="23">
        <f>IF(G184="غياب",VLOOKUP(C184,Employees!$A$3:$J$36,9,FALSE()),0)</f>
        <v>0</v>
      </c>
    </row>
    <row r="185" spans="1:16" ht="15" customHeight="1">
      <c r="A185" s="17" t="s">
        <v>70</v>
      </c>
      <c r="B185" s="19" t="s">
        <v>71</v>
      </c>
      <c r="C185" s="19" t="s">
        <v>19</v>
      </c>
      <c r="D185" s="19" t="str">
        <f>VLOOKUP(C185,Employees!A:J,2,0)</f>
        <v>عابدين محمد</v>
      </c>
      <c r="E185" s="20">
        <v>0.375</v>
      </c>
      <c r="F185" s="20">
        <v>0.875</v>
      </c>
      <c r="G185" s="21" t="s">
        <v>69</v>
      </c>
      <c r="H185" s="30">
        <v>0.51111111111111107</v>
      </c>
      <c r="I185" s="20">
        <v>0.90416666666666667</v>
      </c>
      <c r="J185" s="22">
        <f t="shared" si="107"/>
        <v>0</v>
      </c>
      <c r="K185" s="47">
        <f>(J185/60)*VLOOKUP(C185,Employees!A:J,10,0)*1.5</f>
        <v>0</v>
      </c>
      <c r="L185" s="22">
        <f t="shared" si="108"/>
        <v>195.99999999999997</v>
      </c>
      <c r="M185" s="23">
        <f>(L185/60)*VLOOKUP(C185,Employees!A:J,10,0)*2</f>
        <v>141.15226337448556</v>
      </c>
      <c r="N185" s="24">
        <f t="shared" si="109"/>
        <v>42.000000000000014</v>
      </c>
      <c r="O185" s="25">
        <f>(N185/60)*VLOOKUP(C185,Employees!A:J,10,0)*1.5</f>
        <v>22.685185185185194</v>
      </c>
      <c r="P185" s="23">
        <f>IF(G185="غياب",VLOOKUP(C185,Employees!$A$3:$J$36,9,FALSE()),0)</f>
        <v>0</v>
      </c>
    </row>
    <row r="186" spans="1:16" ht="15" customHeight="1">
      <c r="A186" s="17" t="s">
        <v>72</v>
      </c>
      <c r="B186" s="19" t="s">
        <v>73</v>
      </c>
      <c r="C186" s="19" t="s">
        <v>19</v>
      </c>
      <c r="D186" s="19" t="str">
        <f>VLOOKUP(C186,Employees!A:J,2,0)</f>
        <v>عابدين محمد</v>
      </c>
      <c r="E186" s="20">
        <v>0.375</v>
      </c>
      <c r="F186" s="20">
        <v>0.875</v>
      </c>
      <c r="G186" s="21" t="s">
        <v>69</v>
      </c>
      <c r="H186" s="30">
        <v>0.51944444444444449</v>
      </c>
      <c r="I186" s="20">
        <v>0.91805555555555551</v>
      </c>
      <c r="J186" s="22">
        <f t="shared" si="107"/>
        <v>0</v>
      </c>
      <c r="K186" s="47">
        <f>(J186/60)*VLOOKUP(C186,Employees!A:J,10,0)*1.5</f>
        <v>0</v>
      </c>
      <c r="L186" s="22">
        <f t="shared" si="108"/>
        <v>208.00000000000009</v>
      </c>
      <c r="M186" s="23">
        <f>(L186/60)*VLOOKUP(C186,Employees!A:J,10,0)*2</f>
        <v>149.79423868312762</v>
      </c>
      <c r="N186" s="24">
        <f t="shared" si="109"/>
        <v>61.999999999999943</v>
      </c>
      <c r="O186" s="25">
        <f>(N186/60)*VLOOKUP(C186,Employees!A:J,10,0)*1.5</f>
        <v>33.487654320987616</v>
      </c>
      <c r="P186" s="23">
        <f>IF(G186="غياب",VLOOKUP(C186,Employees!$A$3:$J$36,9,FALSE()),0)</f>
        <v>0</v>
      </c>
    </row>
    <row r="187" spans="1:16" ht="15" customHeight="1">
      <c r="A187" s="17" t="s">
        <v>74</v>
      </c>
      <c r="B187" s="19" t="s">
        <v>75</v>
      </c>
      <c r="C187" s="19" t="s">
        <v>19</v>
      </c>
      <c r="D187" s="19" t="str">
        <f>VLOOKUP(C187,Employees!A:J,2,0)</f>
        <v>عابدين محمد</v>
      </c>
      <c r="E187" s="20">
        <v>0.375</v>
      </c>
      <c r="F187" s="20">
        <v>0.875</v>
      </c>
      <c r="G187" s="21" t="s">
        <v>69</v>
      </c>
      <c r="H187" s="30">
        <v>0.51458333333333328</v>
      </c>
      <c r="I187" s="20">
        <v>0.86597222222222225</v>
      </c>
      <c r="J187" s="22">
        <f t="shared" si="107"/>
        <v>0</v>
      </c>
      <c r="K187" s="47">
        <f>(J187/60)*VLOOKUP(C187,Employees!A:J,10,0)*1.5</f>
        <v>0</v>
      </c>
      <c r="L187" s="22">
        <f t="shared" si="108"/>
        <v>200.99999999999994</v>
      </c>
      <c r="M187" s="23">
        <f>(L187/60)*VLOOKUP(C187,Employees!A:J,10,0)*2</f>
        <v>144.75308641975303</v>
      </c>
      <c r="N187" s="24">
        <f t="shared" si="109"/>
        <v>0</v>
      </c>
      <c r="O187" s="25">
        <f>(N187/60)*VLOOKUP(C187,Employees!A:J,10,0)*1.5</f>
        <v>0</v>
      </c>
      <c r="P187" s="23">
        <f>IF(G187="غياب",VLOOKUP(C187,Employees!$A$3:$J$36,9,FALSE()),0)</f>
        <v>0</v>
      </c>
    </row>
    <row r="188" spans="1:16" ht="15" customHeight="1">
      <c r="A188" s="26" t="s">
        <v>76</v>
      </c>
      <c r="B188" s="28" t="s">
        <v>77</v>
      </c>
      <c r="C188" s="28" t="s">
        <v>19</v>
      </c>
      <c r="D188" s="28" t="str">
        <f>VLOOKUP(C188,Employees!A:J,2,0)</f>
        <v>عابدين محمد</v>
      </c>
      <c r="E188" s="29" t="s">
        <v>78</v>
      </c>
      <c r="F188" s="29" t="s">
        <v>78</v>
      </c>
      <c r="G188" s="27" t="s">
        <v>79</v>
      </c>
      <c r="H188" s="29" t="s">
        <v>78</v>
      </c>
      <c r="I188" s="29" t="s">
        <v>78</v>
      </c>
      <c r="J188" s="22" t="s">
        <v>78</v>
      </c>
      <c r="K188" s="47" t="s">
        <v>78</v>
      </c>
      <c r="L188" s="22" t="s">
        <v>78</v>
      </c>
      <c r="M188" s="23" t="s">
        <v>78</v>
      </c>
      <c r="N188" s="24" t="s">
        <v>78</v>
      </c>
      <c r="O188" s="24" t="s">
        <v>78</v>
      </c>
      <c r="P188" s="23">
        <f>IF(G188="غياب",VLOOKUP(C188,Employees!$A$3:$J$36,9,FALSE()),0)</f>
        <v>0</v>
      </c>
    </row>
    <row r="189" spans="1:16" ht="15" customHeight="1">
      <c r="A189" s="17" t="s">
        <v>80</v>
      </c>
      <c r="B189" s="19" t="s">
        <v>81</v>
      </c>
      <c r="C189" s="19" t="s">
        <v>19</v>
      </c>
      <c r="D189" s="19" t="str">
        <f>VLOOKUP(C189,Employees!A:J,2,0)</f>
        <v>عابدين محمد</v>
      </c>
      <c r="E189" s="20">
        <v>0.375</v>
      </c>
      <c r="F189" s="20">
        <v>0.875</v>
      </c>
      <c r="G189" s="21" t="s">
        <v>69</v>
      </c>
      <c r="H189" s="30">
        <v>0.52361111111111114</v>
      </c>
      <c r="I189" s="20">
        <v>0.86527777777777781</v>
      </c>
      <c r="J189" s="22">
        <f>IF(OR(H189="",G189="غياب",G189="إجازة أسبوعية"),0,
IF(H189&gt;=E189-TIME(0,20,0),0,
IF(H189&gt;=E189-TIME(0,30,0),30,(E189-H189)*1440)))</f>
        <v>0</v>
      </c>
      <c r="K189" s="47">
        <f>(J189/60)*VLOOKUP(C189,Employees!A:J,10,0)*1.5</f>
        <v>0</v>
      </c>
      <c r="L189" s="22">
        <f>IF(OR(H189="",G189="غياب",G189="إجازة أسبوعية"),0,
IF(H189&lt;=E189+TIME(0,30,0),0,
30+((H189-(E189+TIME(0,30,0)))*1440)))</f>
        <v>214.00000000000006</v>
      </c>
      <c r="M189" s="23">
        <f>(L189/60)*VLOOKUP(C189,Employees!A:J,10,0)*2</f>
        <v>154.1152263374486</v>
      </c>
      <c r="N189" s="24">
        <f>IF(OR(I189="",G189="غياب",G189="إجازة أسبوعية",I189&lt;=F189),0,
IF(MOD(I189-F189,1)&lt;=TIME(0,25,0),0,MAX(0,(I189-F189)*1440)))</f>
        <v>0</v>
      </c>
      <c r="O189" s="25">
        <f>(N189/60)*VLOOKUP(C189,Employees!A:J,10,0)*1.5</f>
        <v>0</v>
      </c>
      <c r="P189" s="23">
        <f>IF(G189="غياب",VLOOKUP(C189,Employees!$A$3:$J$36,9,FALSE()),0)</f>
        <v>0</v>
      </c>
    </row>
    <row r="190" spans="1:16" ht="15" customHeight="1">
      <c r="A190" s="48" t="s">
        <v>82</v>
      </c>
      <c r="B190" s="49" t="s">
        <v>83</v>
      </c>
      <c r="C190" s="49" t="s">
        <v>19</v>
      </c>
      <c r="D190" s="49" t="str">
        <f>VLOOKUP(C190,Employees!A:J,2,0)</f>
        <v>عابدين محمد</v>
      </c>
      <c r="E190" s="50">
        <v>0.375</v>
      </c>
      <c r="F190" s="50">
        <v>0.875</v>
      </c>
      <c r="G190" s="51" t="s">
        <v>130</v>
      </c>
      <c r="H190" s="52" t="s">
        <v>78</v>
      </c>
      <c r="I190" s="52" t="s">
        <v>78</v>
      </c>
      <c r="J190" s="22">
        <f t="shared" si="103"/>
        <v>0</v>
      </c>
      <c r="K190" s="47">
        <f>(J190/60)*VLOOKUP(C190,Employees!A:J,10,0)*1.5</f>
        <v>0</v>
      </c>
      <c r="L190" s="22" t="s">
        <v>78</v>
      </c>
      <c r="M190" s="23" t="s">
        <v>78</v>
      </c>
      <c r="N190" s="24" t="s">
        <v>78</v>
      </c>
      <c r="O190" s="25" t="s">
        <v>78</v>
      </c>
      <c r="P190" s="23">
        <f>IF(G190="غياب",VLOOKUP(C190,Employees!$A$3:$J$36,9,FALSE()),0)</f>
        <v>259.25925925925924</v>
      </c>
    </row>
    <row r="191" spans="1:16" ht="15" customHeight="1">
      <c r="A191" s="17" t="s">
        <v>84</v>
      </c>
      <c r="B191" s="19" t="s">
        <v>68</v>
      </c>
      <c r="C191" s="19" t="s">
        <v>19</v>
      </c>
      <c r="D191" s="19" t="str">
        <f>VLOOKUP(C191,Employees!A:J,2,0)</f>
        <v>عابدين محمد</v>
      </c>
      <c r="E191" s="20">
        <v>0.375</v>
      </c>
      <c r="F191" s="20">
        <v>0.875</v>
      </c>
      <c r="G191" s="21" t="s">
        <v>69</v>
      </c>
      <c r="H191" s="30">
        <v>0.42291666666666666</v>
      </c>
      <c r="I191" s="20">
        <v>0.86805555555555558</v>
      </c>
      <c r="J191" s="22">
        <f t="shared" ref="J191:J194" si="110">IF(OR(H191="",G191="غياب",G191="إجازة أسبوعية"),0,
IF(H191&gt;=E191-TIME(0,20,0),0,
IF(H191&gt;=E191-TIME(0,30,0),30,(E191-H191)*1440)))</f>
        <v>0</v>
      </c>
      <c r="K191" s="47">
        <f>(J191/60)*VLOOKUP(C191,Employees!A:J,10,0)*1.5</f>
        <v>0</v>
      </c>
      <c r="L191" s="22">
        <f t="shared" ref="L191:L194" si="111">IF(OR(H191="",G191="غياب",G191="إجازة أسبوعية"),0,
IF(H191&lt;=E191+TIME(0,30,0),0,
30+((H191-(E191+TIME(0,30,0)))*1440)))</f>
        <v>69.000000000000028</v>
      </c>
      <c r="M191" s="23">
        <f>(L191/60)*VLOOKUP(C191,Employees!A:J,10,0)*2</f>
        <v>49.691358024691382</v>
      </c>
      <c r="N191" s="24">
        <f t="shared" ref="N191:N194" si="112">IF(OR(I191="",G191="غياب",G191="إجازة أسبوعية",I191&lt;=F191),0,
IF(MOD(I191-F191,1)&lt;=TIME(0,25,0),0,MAX(0,(I191-F191)*1440)))</f>
        <v>0</v>
      </c>
      <c r="O191" s="25">
        <f>(N191/60)*VLOOKUP(C191,Employees!A:J,10,0)*1.5</f>
        <v>0</v>
      </c>
      <c r="P191" s="23">
        <f>IF(G191="غياب",VLOOKUP(C191,Employees!$A$3:$J$36,9,FALSE()),0)</f>
        <v>0</v>
      </c>
    </row>
    <row r="192" spans="1:16" ht="15" customHeight="1">
      <c r="A192" s="17" t="s">
        <v>85</v>
      </c>
      <c r="B192" s="19" t="s">
        <v>71</v>
      </c>
      <c r="C192" s="19" t="s">
        <v>19</v>
      </c>
      <c r="D192" s="19" t="str">
        <f>VLOOKUP(C192,Employees!A:J,2,0)</f>
        <v>عابدين محمد</v>
      </c>
      <c r="E192" s="20">
        <v>0.375</v>
      </c>
      <c r="F192" s="20">
        <v>0.875</v>
      </c>
      <c r="G192" s="21" t="s">
        <v>69</v>
      </c>
      <c r="H192" s="30">
        <v>0.46666666666666667</v>
      </c>
      <c r="I192" s="20">
        <v>0.89652777777777781</v>
      </c>
      <c r="J192" s="22">
        <f t="shared" si="110"/>
        <v>0</v>
      </c>
      <c r="K192" s="47">
        <f>(J192/60)*VLOOKUP(C192,Employees!A:J,10,0)*1.5</f>
        <v>0</v>
      </c>
      <c r="L192" s="22">
        <f t="shared" si="111"/>
        <v>132.00000000000006</v>
      </c>
      <c r="M192" s="23">
        <f>(L192/60)*VLOOKUP(C192,Employees!A:J,10,0)*2</f>
        <v>95.061728395061763</v>
      </c>
      <c r="N192" s="24">
        <f t="shared" si="112"/>
        <v>31.00000000000005</v>
      </c>
      <c r="O192" s="25">
        <f>(N192/60)*VLOOKUP(C192,Employees!A:J,10,0)*1.5</f>
        <v>16.743827160493851</v>
      </c>
      <c r="P192" s="23">
        <f>IF(G192="غياب",VLOOKUP(C192,Employees!$A$3:$J$36,9,FALSE()),0)</f>
        <v>0</v>
      </c>
    </row>
    <row r="193" spans="1:16" ht="15" customHeight="1">
      <c r="A193" s="17" t="s">
        <v>86</v>
      </c>
      <c r="B193" s="19" t="s">
        <v>73</v>
      </c>
      <c r="C193" s="19" t="s">
        <v>19</v>
      </c>
      <c r="D193" s="19" t="str">
        <f>VLOOKUP(C193,Employees!A:J,2,0)</f>
        <v>عابدين محمد</v>
      </c>
      <c r="E193" s="20">
        <v>0.375</v>
      </c>
      <c r="F193" s="20">
        <v>0.875</v>
      </c>
      <c r="G193" s="21" t="s">
        <v>69</v>
      </c>
      <c r="H193" s="30">
        <v>0.51041666666666663</v>
      </c>
      <c r="I193" s="20">
        <v>0.91805555555555551</v>
      </c>
      <c r="J193" s="22">
        <f t="shared" si="110"/>
        <v>0</v>
      </c>
      <c r="K193" s="47">
        <f>(J193/60)*VLOOKUP(C193,Employees!A:J,10,0)*1.5</f>
        <v>0</v>
      </c>
      <c r="L193" s="22">
        <f t="shared" si="111"/>
        <v>194.99999999999997</v>
      </c>
      <c r="M193" s="23">
        <f>(L193/60)*VLOOKUP(C193,Employees!A:J,10,0)*2</f>
        <v>140.43209876543207</v>
      </c>
      <c r="N193" s="24">
        <f t="shared" si="112"/>
        <v>61.999999999999943</v>
      </c>
      <c r="O193" s="25">
        <f>(N193/60)*VLOOKUP(C193,Employees!A:J,10,0)*1.5</f>
        <v>33.487654320987616</v>
      </c>
      <c r="P193" s="23">
        <f>IF(G193="غياب",VLOOKUP(C193,Employees!$A$3:$J$36,9,FALSE()),0)</f>
        <v>0</v>
      </c>
    </row>
    <row r="194" spans="1:16" ht="15" customHeight="1">
      <c r="A194" s="17" t="s">
        <v>87</v>
      </c>
      <c r="B194" s="19" t="s">
        <v>75</v>
      </c>
      <c r="C194" s="19" t="s">
        <v>19</v>
      </c>
      <c r="D194" s="19" t="str">
        <f>VLOOKUP(C194,Employees!A:J,2,0)</f>
        <v>عابدين محمد</v>
      </c>
      <c r="E194" s="20">
        <v>0.41666666666666702</v>
      </c>
      <c r="F194" s="20">
        <v>0.91666666666666696</v>
      </c>
      <c r="G194" s="21" t="s">
        <v>69</v>
      </c>
      <c r="H194" s="30">
        <v>0.45902777777777776</v>
      </c>
      <c r="I194" s="20">
        <v>0.89583333333333337</v>
      </c>
      <c r="J194" s="22">
        <f t="shared" si="110"/>
        <v>0</v>
      </c>
      <c r="K194" s="47">
        <f>(J194/60)*VLOOKUP(C194,Employees!A:J,10,0)*1.5</f>
        <v>0</v>
      </c>
      <c r="L194" s="22">
        <f t="shared" si="111"/>
        <v>60.999999999999488</v>
      </c>
      <c r="M194" s="23">
        <f>(L194/60)*VLOOKUP(C194,Employees!A:J,10,0)*2</f>
        <v>43.930041152263001</v>
      </c>
      <c r="N194" s="24">
        <f t="shared" si="112"/>
        <v>0</v>
      </c>
      <c r="O194" s="25">
        <f>(N194/60)*VLOOKUP(C194,Employees!A:J,10,0)*1.5</f>
        <v>0</v>
      </c>
      <c r="P194" s="23">
        <f>IF(G194="غياب",VLOOKUP(C194,Employees!$A$3:$J$36,9,FALSE()),0)</f>
        <v>0</v>
      </c>
    </row>
    <row r="195" spans="1:16" ht="15" customHeight="1">
      <c r="A195" s="26" t="s">
        <v>88</v>
      </c>
      <c r="B195" s="28" t="s">
        <v>77</v>
      </c>
      <c r="C195" s="28" t="s">
        <v>19</v>
      </c>
      <c r="D195" s="28" t="str">
        <f>VLOOKUP(C195,Employees!A:J,2,0)</f>
        <v>عابدين محمد</v>
      </c>
      <c r="E195" s="29" t="s">
        <v>78</v>
      </c>
      <c r="F195" s="29" t="s">
        <v>78</v>
      </c>
      <c r="G195" s="27" t="s">
        <v>79</v>
      </c>
      <c r="H195" s="29" t="s">
        <v>78</v>
      </c>
      <c r="I195" s="29" t="s">
        <v>78</v>
      </c>
      <c r="J195" s="22" t="s">
        <v>78</v>
      </c>
      <c r="K195" s="47" t="s">
        <v>78</v>
      </c>
      <c r="L195" s="22" t="s">
        <v>78</v>
      </c>
      <c r="M195" s="23" t="s">
        <v>78</v>
      </c>
      <c r="N195" s="24" t="s">
        <v>78</v>
      </c>
      <c r="O195" s="24" t="s">
        <v>78</v>
      </c>
      <c r="P195" s="23">
        <f>IF(G195="غياب",VLOOKUP(C195,Employees!$A$3:$J$36,9,FALSE()),0)</f>
        <v>0</v>
      </c>
    </row>
    <row r="196" spans="1:16" ht="15" customHeight="1">
      <c r="A196" s="26" t="s">
        <v>89</v>
      </c>
      <c r="B196" s="28" t="s">
        <v>81</v>
      </c>
      <c r="C196" s="28" t="s">
        <v>19</v>
      </c>
      <c r="D196" s="28" t="str">
        <f>VLOOKUP(C196,Employees!A:J,2,0)</f>
        <v>عابدين محمد</v>
      </c>
      <c r="E196" s="29" t="s">
        <v>78</v>
      </c>
      <c r="F196" s="29" t="s">
        <v>78</v>
      </c>
      <c r="G196" s="27" t="s">
        <v>79</v>
      </c>
      <c r="H196" s="29" t="s">
        <v>78</v>
      </c>
      <c r="I196" s="29" t="s">
        <v>78</v>
      </c>
      <c r="J196" s="22" t="s">
        <v>78</v>
      </c>
      <c r="K196" s="47" t="s">
        <v>78</v>
      </c>
      <c r="L196" s="22" t="s">
        <v>78</v>
      </c>
      <c r="M196" s="23" t="s">
        <v>78</v>
      </c>
      <c r="N196" s="24" t="s">
        <v>78</v>
      </c>
      <c r="O196" s="24" t="s">
        <v>78</v>
      </c>
      <c r="P196" s="23">
        <f>IF(G196="غياب",VLOOKUP(C196,Employees!$A$3:$J$36,9,FALSE()),0)</f>
        <v>0</v>
      </c>
    </row>
    <row r="197" spans="1:16" ht="15" customHeight="1">
      <c r="A197" s="17" t="s">
        <v>90</v>
      </c>
      <c r="B197" s="19" t="s">
        <v>83</v>
      </c>
      <c r="C197" s="19" t="s">
        <v>19</v>
      </c>
      <c r="D197" s="19" t="str">
        <f>VLOOKUP(C197,Employees!A:J,2,0)</f>
        <v>عابدين محمد</v>
      </c>
      <c r="E197" s="20">
        <v>0.41666666666666702</v>
      </c>
      <c r="F197" s="20">
        <v>0.91666666666666696</v>
      </c>
      <c r="G197" s="21" t="s">
        <v>69</v>
      </c>
      <c r="H197" s="20">
        <v>0.4777777777777778</v>
      </c>
      <c r="I197" s="20">
        <v>0.92013888888888884</v>
      </c>
      <c r="J197" s="22">
        <f t="shared" ref="J197:J201" si="113">IF(OR(H197="",G197="غياب",G197="إجازة أسبوعية"),0,
IF(H197&gt;=E197-TIME(0,20,0),0,
IF(H197&gt;=E197-TIME(0,30,0),30,(E197-H197)*1440)))</f>
        <v>0</v>
      </c>
      <c r="K197" s="47">
        <f>(J197/60)*VLOOKUP(C197,Employees!A:J,10,0)*1.5</f>
        <v>0</v>
      </c>
      <c r="L197" s="22">
        <f t="shared" ref="L197:L201" si="114">IF(OR(H197="",G197="غياب",G197="إجازة أسبوعية"),0,
IF(H197&lt;=E197+TIME(0,30,0),0,
30+((H197-(E197+TIME(0,30,0)))*1440)))</f>
        <v>87.999999999999545</v>
      </c>
      <c r="M197" s="23">
        <f>(L197/60)*VLOOKUP(C197,Employees!A:J,10,0)*2</f>
        <v>63.37448559670748</v>
      </c>
      <c r="N197" s="24">
        <f t="shared" ref="N197:N201" si="115">IF(OR(I197="",G197="غياب",G197="إجازة أسبوعية",I197&lt;=F197),0,
IF(MOD(I197-F197,1)&lt;=TIME(0,25,0),0,MAX(0,(I197-F197)*1440)))</f>
        <v>0</v>
      </c>
      <c r="O197" s="25">
        <f>(N197/60)*VLOOKUP(C197,Employees!A:J,10,0)*1.5</f>
        <v>0</v>
      </c>
      <c r="P197" s="23">
        <f>IF(G197="غياب",VLOOKUP(C197,Employees!$A$3:$J$36,9,FALSE()),0)</f>
        <v>0</v>
      </c>
    </row>
    <row r="198" spans="1:16" ht="15" customHeight="1">
      <c r="A198" s="17" t="s">
        <v>91</v>
      </c>
      <c r="B198" s="19" t="s">
        <v>68</v>
      </c>
      <c r="C198" s="19" t="s">
        <v>19</v>
      </c>
      <c r="D198" s="19" t="str">
        <f>VLOOKUP(C198,Employees!A:J,2,0)</f>
        <v>عابدين محمد</v>
      </c>
      <c r="E198" s="20">
        <v>0.41666666666666702</v>
      </c>
      <c r="F198" s="20">
        <v>0.91666666666666696</v>
      </c>
      <c r="G198" s="21" t="s">
        <v>69</v>
      </c>
      <c r="H198" s="20">
        <v>0.50208333333333333</v>
      </c>
      <c r="I198" s="20">
        <v>0.91666666666666663</v>
      </c>
      <c r="J198" s="22">
        <f t="shared" si="113"/>
        <v>0</v>
      </c>
      <c r="K198" s="47">
        <f>(J198/60)*VLOOKUP(C198,Employees!A:J,10,0)*1.5</f>
        <v>0</v>
      </c>
      <c r="L198" s="22">
        <f t="shared" si="114"/>
        <v>122.99999999999952</v>
      </c>
      <c r="M198" s="23">
        <f>(L198/60)*VLOOKUP(C198,Employees!A:J,10,0)*2</f>
        <v>88.580246913579884</v>
      </c>
      <c r="N198" s="24">
        <f t="shared" si="115"/>
        <v>0</v>
      </c>
      <c r="O198" s="25">
        <f>(N198/60)*VLOOKUP(C198,Employees!A:J,10,0)*1.5</f>
        <v>0</v>
      </c>
      <c r="P198" s="23">
        <f>IF(G198="غياب",VLOOKUP(C198,Employees!$A$3:$J$36,9,FALSE()),0)</f>
        <v>0</v>
      </c>
    </row>
    <row r="199" spans="1:16" ht="15" customHeight="1">
      <c r="A199" s="17" t="s">
        <v>92</v>
      </c>
      <c r="B199" s="19" t="s">
        <v>71</v>
      </c>
      <c r="C199" s="19" t="s">
        <v>19</v>
      </c>
      <c r="D199" s="19" t="str">
        <f>VLOOKUP(C199,Employees!A:J,2,0)</f>
        <v>عابدين محمد</v>
      </c>
      <c r="E199" s="20">
        <v>0.41666666666666702</v>
      </c>
      <c r="F199" s="20">
        <v>0.91666666666666696</v>
      </c>
      <c r="G199" s="21" t="s">
        <v>69</v>
      </c>
      <c r="H199" s="20">
        <v>0.4861111111111111</v>
      </c>
      <c r="I199" s="20">
        <v>0.90972222222222221</v>
      </c>
      <c r="J199" s="22">
        <f t="shared" si="113"/>
        <v>0</v>
      </c>
      <c r="K199" s="47">
        <f>(J199/60)*VLOOKUP(C199,Employees!A:J,10,0)*1.5</f>
        <v>0</v>
      </c>
      <c r="L199" s="22">
        <f t="shared" si="114"/>
        <v>99.999999999999517</v>
      </c>
      <c r="M199" s="23">
        <f>(L199/60)*VLOOKUP(C199,Employees!A:J,10,0)*2</f>
        <v>72.016460905349433</v>
      </c>
      <c r="N199" s="24">
        <f t="shared" si="115"/>
        <v>0</v>
      </c>
      <c r="O199" s="25">
        <f>(N199/60)*VLOOKUP(C199,Employees!A:J,10,0)*1.5</f>
        <v>0</v>
      </c>
      <c r="P199" s="23">
        <f>IF(G199="غياب",VLOOKUP(C199,Employees!$A$3:$J$36,9,FALSE()),0)</f>
        <v>0</v>
      </c>
    </row>
    <row r="200" spans="1:16" ht="15" customHeight="1">
      <c r="A200" s="17" t="s">
        <v>93</v>
      </c>
      <c r="B200" s="19" t="s">
        <v>73</v>
      </c>
      <c r="C200" s="19" t="s">
        <v>19</v>
      </c>
      <c r="D200" s="19" t="str">
        <f>VLOOKUP(C200,Employees!A:J,2,0)</f>
        <v>عابدين محمد</v>
      </c>
      <c r="E200" s="20">
        <v>0.41666666666666702</v>
      </c>
      <c r="F200" s="20">
        <v>0.91666666666666696</v>
      </c>
      <c r="G200" s="21" t="s">
        <v>69</v>
      </c>
      <c r="H200" s="20">
        <v>0.5083333333333333</v>
      </c>
      <c r="I200" s="20">
        <v>0.91597222222222219</v>
      </c>
      <c r="J200" s="22">
        <f t="shared" si="113"/>
        <v>0</v>
      </c>
      <c r="K200" s="47">
        <f>(J200/60)*VLOOKUP(C200,Employees!A:J,10,0)*1.5</f>
        <v>0</v>
      </c>
      <c r="L200" s="22">
        <f t="shared" si="114"/>
        <v>131.99999999999949</v>
      </c>
      <c r="M200" s="23">
        <f>(L200/60)*VLOOKUP(C200,Employees!A:J,10,0)*2</f>
        <v>95.061728395061351</v>
      </c>
      <c r="N200" s="24">
        <f t="shared" si="115"/>
        <v>0</v>
      </c>
      <c r="O200" s="25">
        <f>(N200/60)*VLOOKUP(C200,Employees!A:J,10,0)*1.5</f>
        <v>0</v>
      </c>
      <c r="P200" s="23">
        <f>IF(G200="غياب",VLOOKUP(C200,Employees!$A$3:$J$36,9,FALSE()),0)</f>
        <v>0</v>
      </c>
    </row>
    <row r="201" spans="1:16" ht="15" customHeight="1">
      <c r="A201" s="17" t="s">
        <v>94</v>
      </c>
      <c r="B201" s="19" t="s">
        <v>75</v>
      </c>
      <c r="C201" s="19" t="s">
        <v>19</v>
      </c>
      <c r="D201" s="19" t="str">
        <f>VLOOKUP(C201,Employees!A:J,2,0)</f>
        <v>عابدين محمد</v>
      </c>
      <c r="E201" s="20">
        <v>0.41666666666666702</v>
      </c>
      <c r="F201" s="20">
        <v>0.91666666666666696</v>
      </c>
      <c r="G201" s="21" t="s">
        <v>69</v>
      </c>
      <c r="H201" s="20">
        <v>0.47152777777777777</v>
      </c>
      <c r="I201" s="20">
        <v>0.92777777777777781</v>
      </c>
      <c r="J201" s="22">
        <f t="shared" si="113"/>
        <v>0</v>
      </c>
      <c r="K201" s="47">
        <f>(J201/60)*VLOOKUP(C201,Employees!A:J,10,0)*1.5</f>
        <v>0</v>
      </c>
      <c r="L201" s="22">
        <f t="shared" si="114"/>
        <v>78.999999999999503</v>
      </c>
      <c r="M201" s="23">
        <f>(L201/60)*VLOOKUP(C201,Employees!A:J,10,0)*2</f>
        <v>56.893004115225978</v>
      </c>
      <c r="N201" s="24">
        <f t="shared" si="115"/>
        <v>0</v>
      </c>
      <c r="O201" s="25">
        <f>(N201/60)*VLOOKUP(C201,Employees!A:J,10,0)*1.5</f>
        <v>0</v>
      </c>
      <c r="P201" s="23">
        <f>IF(G201="غياب",VLOOKUP(C201,Employees!$A$3:$J$36,9,FALSE()),0)</f>
        <v>0</v>
      </c>
    </row>
    <row r="202" spans="1:16" ht="15" customHeight="1">
      <c r="A202" s="26" t="s">
        <v>95</v>
      </c>
      <c r="B202" s="28" t="s">
        <v>77</v>
      </c>
      <c r="C202" s="28" t="s">
        <v>19</v>
      </c>
      <c r="D202" s="28" t="str">
        <f>VLOOKUP(C202,Employees!A:J,2,0)</f>
        <v>عابدين محمد</v>
      </c>
      <c r="E202" s="29" t="s">
        <v>78</v>
      </c>
      <c r="F202" s="29" t="s">
        <v>78</v>
      </c>
      <c r="G202" s="27" t="s">
        <v>79</v>
      </c>
      <c r="H202" s="29" t="s">
        <v>78</v>
      </c>
      <c r="I202" s="29" t="s">
        <v>78</v>
      </c>
      <c r="J202" s="22" t="s">
        <v>78</v>
      </c>
      <c r="K202" s="47" t="s">
        <v>78</v>
      </c>
      <c r="L202" s="22" t="s">
        <v>78</v>
      </c>
      <c r="M202" s="23" t="s">
        <v>78</v>
      </c>
      <c r="N202" s="24" t="s">
        <v>78</v>
      </c>
      <c r="O202" s="24" t="s">
        <v>78</v>
      </c>
      <c r="P202" s="23">
        <f>IF(G202="غياب",VLOOKUP(C202,Employees!$A$3:$J$36,9,FALSE()),0)</f>
        <v>0</v>
      </c>
    </row>
    <row r="203" spans="1:16" ht="15" customHeight="1">
      <c r="A203" s="17" t="s">
        <v>96</v>
      </c>
      <c r="B203" s="19" t="s">
        <v>81</v>
      </c>
      <c r="C203" s="19" t="s">
        <v>19</v>
      </c>
      <c r="D203" s="19" t="str">
        <f>VLOOKUP(C203,Employees!A:J,2,0)</f>
        <v>عابدين محمد</v>
      </c>
      <c r="E203" s="20">
        <v>0.41666666666666702</v>
      </c>
      <c r="F203" s="20">
        <v>0.91666666666666696</v>
      </c>
      <c r="G203" s="21" t="s">
        <v>69</v>
      </c>
      <c r="H203" s="20">
        <v>0.50902777777777775</v>
      </c>
      <c r="I203" s="20">
        <v>0.9194444444444444</v>
      </c>
      <c r="J203" s="22">
        <f>IF(OR(H203="",G203="غياب",G203="إجازة أسبوعية"),0,
IF(H203&gt;=E203-TIME(0,20,0),0,
IF(H203&gt;=E203-TIME(0,30,0),30,(E203-H203)*1440)))</f>
        <v>0</v>
      </c>
      <c r="K203" s="47">
        <f>(J203/60)*VLOOKUP(C203,Employees!A:J,10,0)*1.5</f>
        <v>0</v>
      </c>
      <c r="L203" s="22">
        <f>IF(OR(H203="",G203="غياب",G203="إجازة أسبوعية"),0,
IF(H203&lt;=E203+TIME(0,30,0),0,
30+((H203-(E203+TIME(0,30,0)))*1440)))</f>
        <v>132.99999999999949</v>
      </c>
      <c r="M203" s="23">
        <f>(L203/60)*VLOOKUP(C203,Employees!A:J,10,0)*2</f>
        <v>95.781893004114863</v>
      </c>
      <c r="N203" s="24">
        <f>IF(OR(I203="",G203="غياب",G203="إجازة أسبوعية",I203&lt;=F203),0,
IF(MOD(I203-F203,1)&lt;=TIME(0,25,0),0,MAX(0,(I203-F203)*1440)))</f>
        <v>0</v>
      </c>
      <c r="O203" s="25">
        <f>(N203/60)*VLOOKUP(C203,Employees!A:J,10,0)*1.5</f>
        <v>0</v>
      </c>
      <c r="P203" s="23">
        <f>IF(G203="غياب",VLOOKUP(C203,Employees!$A$3:$J$36,9,FALSE()),0)</f>
        <v>0</v>
      </c>
    </row>
    <row r="204" spans="1:16" ht="15" customHeight="1">
      <c r="A204" s="48" t="s">
        <v>97</v>
      </c>
      <c r="B204" s="49" t="s">
        <v>83</v>
      </c>
      <c r="C204" s="49" t="s">
        <v>19</v>
      </c>
      <c r="D204" s="49" t="str">
        <f>VLOOKUP(C204,Employees!A:J,2,0)</f>
        <v>عابدين محمد</v>
      </c>
      <c r="E204" s="50">
        <v>0.41666666666666702</v>
      </c>
      <c r="F204" s="50">
        <v>0.91666666666666696</v>
      </c>
      <c r="G204" s="51" t="s">
        <v>130</v>
      </c>
      <c r="H204" s="52" t="s">
        <v>78</v>
      </c>
      <c r="I204" s="52" t="s">
        <v>78</v>
      </c>
      <c r="J204" s="22">
        <f t="shared" ref="J204:J212" si="116">IF(OR(G204="غياب",G204="إجازة أسبوعية"),0,
IF(H204&gt;=E204-TIME(0,20,0),0,
IF(H204&gt;=E204-TIME(0,30,0),30,(E204-H204)*1440)))</f>
        <v>0</v>
      </c>
      <c r="K204" s="47">
        <f>(J204/60)*VLOOKUP(C204,Employees!A:J,10,0)*1.5</f>
        <v>0</v>
      </c>
      <c r="L204" s="22" t="s">
        <v>78</v>
      </c>
      <c r="M204" s="23" t="s">
        <v>78</v>
      </c>
      <c r="N204" s="24" t="s">
        <v>78</v>
      </c>
      <c r="O204" s="25" t="s">
        <v>78</v>
      </c>
      <c r="P204" s="23">
        <f>IF(G204="غياب",VLOOKUP(C204,Employees!$A$3:$J$36,9,FALSE()),0)</f>
        <v>259.25925925925924</v>
      </c>
    </row>
    <row r="205" spans="1:16" ht="15" customHeight="1">
      <c r="A205" s="17" t="s">
        <v>98</v>
      </c>
      <c r="B205" s="19" t="s">
        <v>68</v>
      </c>
      <c r="C205" s="19" t="s">
        <v>19</v>
      </c>
      <c r="D205" s="19" t="str">
        <f>VLOOKUP(C205,Employees!A:J,2,0)</f>
        <v>عابدين محمد</v>
      </c>
      <c r="E205" s="20">
        <v>0.41666666666666702</v>
      </c>
      <c r="F205" s="20">
        <v>0.91666666666666696</v>
      </c>
      <c r="G205" s="21" t="s">
        <v>69</v>
      </c>
      <c r="H205" s="20">
        <v>0.49652777777777779</v>
      </c>
      <c r="I205" s="20">
        <v>0.92222222222222228</v>
      </c>
      <c r="J205" s="22">
        <f t="shared" ref="J205:J208" si="117">IF(OR(H205="",G205="غياب",G205="إجازة أسبوعية"),0,
IF(H205&gt;=E205-TIME(0,20,0),0,
IF(H205&gt;=E205-TIME(0,30,0),30,(E205-H205)*1440)))</f>
        <v>0</v>
      </c>
      <c r="K205" s="47">
        <f>(J205/60)*VLOOKUP(C205,Employees!A:J,10,0)*1.5</f>
        <v>0</v>
      </c>
      <c r="L205" s="22">
        <f t="shared" ref="L205:L208" si="118">IF(OR(H205="",G205="غياب",G205="إجازة أسبوعية"),0,
IF(H205&lt;=E205+TIME(0,30,0),0,
30+((H205-(E205+TIME(0,30,0)))*1440)))</f>
        <v>114.99999999999955</v>
      </c>
      <c r="M205" s="23">
        <f>(L205/60)*VLOOKUP(C205,Employees!A:J,10,0)*2</f>
        <v>82.81893004115193</v>
      </c>
      <c r="N205" s="24">
        <f t="shared" ref="N205:N208" si="119">IF(OR(I205="",G205="غياب",G205="إجازة أسبوعية",I205&lt;=F205),0,
IF(MOD(I205-F205,1)&lt;=TIME(0,25,0),0,MAX(0,(I205-F205)*1440)))</f>
        <v>0</v>
      </c>
      <c r="O205" s="25">
        <f>(N205/60)*VLOOKUP(C205,Employees!A:J,10,0)*1.5</f>
        <v>0</v>
      </c>
      <c r="P205" s="23">
        <f>IF(G205="غياب",VLOOKUP(C205,Employees!$A$3:$J$36,9,FALSE()),0)</f>
        <v>0</v>
      </c>
    </row>
    <row r="206" spans="1:16" ht="15" customHeight="1">
      <c r="A206" s="17" t="s">
        <v>99</v>
      </c>
      <c r="B206" s="19" t="s">
        <v>71</v>
      </c>
      <c r="C206" s="19" t="s">
        <v>19</v>
      </c>
      <c r="D206" s="19" t="str">
        <f>VLOOKUP(C206,Employees!A:J,2,0)</f>
        <v>عابدين محمد</v>
      </c>
      <c r="E206" s="20">
        <v>0.41666666666666702</v>
      </c>
      <c r="F206" s="20">
        <v>0.91666666666666696</v>
      </c>
      <c r="G206" s="21" t="s">
        <v>69</v>
      </c>
      <c r="H206" s="20">
        <v>0.51666666666666672</v>
      </c>
      <c r="I206" s="20">
        <v>0.91666666666666663</v>
      </c>
      <c r="J206" s="22">
        <f t="shared" si="117"/>
        <v>0</v>
      </c>
      <c r="K206" s="47">
        <f>(J206/60)*VLOOKUP(C206,Employees!A:J,10,0)*1.5</f>
        <v>0</v>
      </c>
      <c r="L206" s="22">
        <f t="shared" si="118"/>
        <v>143.9999999999996</v>
      </c>
      <c r="M206" s="23">
        <f>(L206/60)*VLOOKUP(C206,Employees!A:J,10,0)*2</f>
        <v>103.7037037037034</v>
      </c>
      <c r="N206" s="24">
        <f t="shared" si="119"/>
        <v>0</v>
      </c>
      <c r="O206" s="25">
        <f>(N206/60)*VLOOKUP(C206,Employees!A:J,10,0)*1.5</f>
        <v>0</v>
      </c>
      <c r="P206" s="23">
        <f>IF(G206="غياب",VLOOKUP(C206,Employees!$A$3:$J$36,9,FALSE()),0)</f>
        <v>0</v>
      </c>
    </row>
    <row r="207" spans="1:16" ht="15" customHeight="1">
      <c r="A207" s="17" t="s">
        <v>100</v>
      </c>
      <c r="B207" s="19" t="s">
        <v>73</v>
      </c>
      <c r="C207" s="19" t="s">
        <v>19</v>
      </c>
      <c r="D207" s="19" t="str">
        <f>VLOOKUP(C207,Employees!A:J,2,0)</f>
        <v>عابدين محمد</v>
      </c>
      <c r="E207" s="20">
        <v>0.375</v>
      </c>
      <c r="F207" s="20">
        <v>0.875</v>
      </c>
      <c r="G207" s="21" t="s">
        <v>69</v>
      </c>
      <c r="H207" s="20">
        <v>0.375</v>
      </c>
      <c r="I207" s="20">
        <v>0.88402777777777775</v>
      </c>
      <c r="J207" s="22">
        <f t="shared" si="117"/>
        <v>0</v>
      </c>
      <c r="K207" s="47">
        <f>(J207/60)*VLOOKUP(C207,Employees!A:J,10,0)*1.5</f>
        <v>0</v>
      </c>
      <c r="L207" s="22">
        <f t="shared" si="118"/>
        <v>0</v>
      </c>
      <c r="M207" s="23">
        <f>(L207/60)*VLOOKUP(C207,Employees!A:J,10,0)*2</f>
        <v>0</v>
      </c>
      <c r="N207" s="24">
        <f t="shared" si="119"/>
        <v>0</v>
      </c>
      <c r="O207" s="25">
        <f>(N207/60)*VLOOKUP(C207,Employees!A:J,10,0)*1.5</f>
        <v>0</v>
      </c>
      <c r="P207" s="23">
        <f>IF(G207="غياب",VLOOKUP(C207,Employees!$A$3:$J$36,9,FALSE()),0)</f>
        <v>0</v>
      </c>
    </row>
    <row r="208" spans="1:16" ht="15" customHeight="1">
      <c r="A208" s="17" t="s">
        <v>101</v>
      </c>
      <c r="B208" s="19" t="s">
        <v>75</v>
      </c>
      <c r="C208" s="19" t="s">
        <v>19</v>
      </c>
      <c r="D208" s="19" t="str">
        <f>VLOOKUP(C208,Employees!A:J,2,0)</f>
        <v>عابدين محمد</v>
      </c>
      <c r="E208" s="20">
        <v>0.375</v>
      </c>
      <c r="F208" s="20">
        <v>0.875</v>
      </c>
      <c r="G208" s="21" t="s">
        <v>69</v>
      </c>
      <c r="H208" s="20">
        <v>0.49236111111111114</v>
      </c>
      <c r="I208" s="20">
        <v>0.90069444444444446</v>
      </c>
      <c r="J208" s="22">
        <f t="shared" si="117"/>
        <v>0</v>
      </c>
      <c r="K208" s="47">
        <f>(J208/60)*VLOOKUP(C208,Employees!A:J,10,0)*1.5</f>
        <v>0</v>
      </c>
      <c r="L208" s="22">
        <f t="shared" si="118"/>
        <v>169.00000000000006</v>
      </c>
      <c r="M208" s="23">
        <f>(L208/60)*VLOOKUP(C208,Employees!A:J,10,0)*2</f>
        <v>121.70781893004119</v>
      </c>
      <c r="N208" s="24">
        <f t="shared" si="119"/>
        <v>37.000000000000028</v>
      </c>
      <c r="O208" s="25">
        <f>(N208/60)*VLOOKUP(C208,Employees!A:J,10,0)*1.5</f>
        <v>19.984567901234584</v>
      </c>
      <c r="P208" s="23">
        <f>IF(G208="غياب",VLOOKUP(C208,Employees!$A$3:$J$36,9,FALSE()),0)</f>
        <v>0</v>
      </c>
    </row>
    <row r="209" spans="1:16" ht="15" customHeight="1">
      <c r="A209" s="26" t="s">
        <v>102</v>
      </c>
      <c r="B209" s="28" t="s">
        <v>77</v>
      </c>
      <c r="C209" s="28" t="s">
        <v>19</v>
      </c>
      <c r="D209" s="28" t="str">
        <f>VLOOKUP(C209,Employees!A:J,2,0)</f>
        <v>عابدين محمد</v>
      </c>
      <c r="E209" s="29" t="s">
        <v>78</v>
      </c>
      <c r="F209" s="29" t="s">
        <v>78</v>
      </c>
      <c r="G209" s="27" t="s">
        <v>79</v>
      </c>
      <c r="H209" s="29" t="s">
        <v>78</v>
      </c>
      <c r="I209" s="29" t="s">
        <v>78</v>
      </c>
      <c r="J209" s="22" t="s">
        <v>78</v>
      </c>
      <c r="K209" s="47" t="s">
        <v>78</v>
      </c>
      <c r="L209" s="22" t="s">
        <v>78</v>
      </c>
      <c r="M209" s="23" t="s">
        <v>78</v>
      </c>
      <c r="N209" s="24" t="s">
        <v>78</v>
      </c>
      <c r="O209" s="24" t="s">
        <v>78</v>
      </c>
      <c r="P209" s="23">
        <f>IF(G209="غياب",VLOOKUP(C209,Employees!$A$3:$J$36,9,FALSE()),0)</f>
        <v>0</v>
      </c>
    </row>
    <row r="210" spans="1:16" ht="15" customHeight="1">
      <c r="A210" s="48" t="s">
        <v>103</v>
      </c>
      <c r="B210" s="49" t="s">
        <v>81</v>
      </c>
      <c r="C210" s="49" t="s">
        <v>19</v>
      </c>
      <c r="D210" s="49" t="str">
        <f>VLOOKUP(C210,Employees!A:J,2,0)</f>
        <v>عابدين محمد</v>
      </c>
      <c r="E210" s="50">
        <v>0.375</v>
      </c>
      <c r="F210" s="50">
        <v>0.875</v>
      </c>
      <c r="G210" s="51" t="s">
        <v>130</v>
      </c>
      <c r="H210" s="52" t="s">
        <v>78</v>
      </c>
      <c r="I210" s="52" t="s">
        <v>78</v>
      </c>
      <c r="J210" s="22">
        <f t="shared" si="116"/>
        <v>0</v>
      </c>
      <c r="K210" s="47">
        <f>(J210/60)*VLOOKUP(C210,Employees!A:J,10,0)*1.5</f>
        <v>0</v>
      </c>
      <c r="L210" s="22" t="s">
        <v>78</v>
      </c>
      <c r="M210" s="23" t="s">
        <v>78</v>
      </c>
      <c r="N210" s="24" t="s">
        <v>78</v>
      </c>
      <c r="O210" s="25" t="s">
        <v>78</v>
      </c>
      <c r="P210" s="23">
        <f>IF(G210="غياب",VLOOKUP(C210,Employees!$A$3:$J$36,9,FALSE()),0)</f>
        <v>259.25925925925924</v>
      </c>
    </row>
    <row r="211" spans="1:16" ht="15" customHeight="1">
      <c r="A211" s="17" t="s">
        <v>104</v>
      </c>
      <c r="B211" s="19" t="s">
        <v>83</v>
      </c>
      <c r="C211" s="19" t="s">
        <v>19</v>
      </c>
      <c r="D211" s="19" t="str">
        <f>VLOOKUP(C211,Employees!A:J,2,0)</f>
        <v>عابدين محمد</v>
      </c>
      <c r="E211" s="20">
        <v>0.375</v>
      </c>
      <c r="F211" s="20">
        <v>0.875</v>
      </c>
      <c r="G211" s="21" t="s">
        <v>69</v>
      </c>
      <c r="H211" s="20">
        <v>0.49236111111111114</v>
      </c>
      <c r="I211" s="20">
        <v>0.88888888888888884</v>
      </c>
      <c r="J211" s="22">
        <f>IF(OR(H211="",G211="غياب",G211="إجازة أسبوعية"),0,
IF(H211&gt;=E211-TIME(0,20,0),0,
IF(H211&gt;=E211-TIME(0,30,0),30,(E211-H211)*1440)))</f>
        <v>0</v>
      </c>
      <c r="K211" s="47">
        <f>(J211/60)*VLOOKUP(C211,Employees!A:J,10,0)*1.5</f>
        <v>0</v>
      </c>
      <c r="L211" s="22">
        <f>IF(OR(H211="",G211="غياب",G211="إجازة أسبوعية"),0,
IF(H211&lt;=E211+TIME(0,30,0),0,
30+((H211-(E211+TIME(0,30,0)))*1440)))</f>
        <v>169.00000000000006</v>
      </c>
      <c r="M211" s="23">
        <f>(L211/60)*VLOOKUP(C211,Employees!A:J,10,0)*2</f>
        <v>121.70781893004119</v>
      </c>
      <c r="N211" s="24">
        <f>IF(OR(I211="",G211="غياب",G211="إجازة أسبوعية",I211&lt;=F211),0,
IF(MOD(I211-F211,1)&lt;=TIME(0,25,0),0,MAX(0,(I211-F211)*1440)))</f>
        <v>0</v>
      </c>
      <c r="O211" s="25">
        <f>(N211/60)*VLOOKUP(C211,Employees!A:J,10,0)*1.5</f>
        <v>0</v>
      </c>
      <c r="P211" s="23">
        <f>IF(G211="غياب",VLOOKUP(C211,Employees!$A$3:$J$36,9,FALSE()),0)</f>
        <v>0</v>
      </c>
    </row>
    <row r="212" spans="1:16" ht="15" customHeight="1">
      <c r="A212" s="48" t="s">
        <v>105</v>
      </c>
      <c r="B212" s="49" t="s">
        <v>68</v>
      </c>
      <c r="C212" s="49" t="s">
        <v>19</v>
      </c>
      <c r="D212" s="49" t="str">
        <f>VLOOKUP(C212,Employees!A:J,2,0)</f>
        <v>عابدين محمد</v>
      </c>
      <c r="E212" s="50">
        <v>0.375</v>
      </c>
      <c r="F212" s="50">
        <v>0.875</v>
      </c>
      <c r="G212" s="51" t="s">
        <v>130</v>
      </c>
      <c r="H212" s="52" t="s">
        <v>78</v>
      </c>
      <c r="I212" s="52" t="s">
        <v>78</v>
      </c>
      <c r="J212" s="22">
        <f t="shared" si="116"/>
        <v>0</v>
      </c>
      <c r="K212" s="47">
        <f>(J212/60)*VLOOKUP(C212,Employees!A:J,10,0)*1.5</f>
        <v>0</v>
      </c>
      <c r="L212" s="22" t="s">
        <v>78</v>
      </c>
      <c r="M212" s="23" t="s">
        <v>78</v>
      </c>
      <c r="N212" s="24" t="s">
        <v>78</v>
      </c>
      <c r="O212" s="25" t="s">
        <v>78</v>
      </c>
      <c r="P212" s="23">
        <f>IF(G212="غياب",VLOOKUP(C212,Employees!$A$3:$J$36,9,FALSE()),0)</f>
        <v>259.25925925925924</v>
      </c>
    </row>
    <row r="213" spans="1:16" ht="15" customHeight="1">
      <c r="A213" s="17" t="s">
        <v>106</v>
      </c>
      <c r="B213" s="19" t="s">
        <v>71</v>
      </c>
      <c r="C213" s="19" t="s">
        <v>19</v>
      </c>
      <c r="D213" s="19" t="str">
        <f>VLOOKUP(C213,Employees!A:J,2,0)</f>
        <v>عابدين محمد</v>
      </c>
      <c r="E213" s="20">
        <v>0.375</v>
      </c>
      <c r="F213" s="20">
        <v>0.875</v>
      </c>
      <c r="G213" s="21" t="s">
        <v>69</v>
      </c>
      <c r="H213" s="20">
        <v>0.46597222222222223</v>
      </c>
      <c r="I213" s="20">
        <v>0.88541666666666663</v>
      </c>
      <c r="J213" s="22">
        <f t="shared" ref="J213:J217" si="120">IF(OR(H213="",G213="غياب",G213="إجازة أسبوعية"),0,
IF(H213&gt;=E213-TIME(0,20,0),0,
IF(H213&gt;=E213-TIME(0,30,0),30,(E213-H213)*1440)))</f>
        <v>0</v>
      </c>
      <c r="K213" s="47">
        <f>(J213/60)*VLOOKUP(C213,Employees!A:J,10,0)*1.5</f>
        <v>0</v>
      </c>
      <c r="L213" s="22">
        <f t="shared" ref="L213:L217" si="121">IF(OR(H213="",G213="غياب",G213="إجازة أسبوعية"),0,
IF(H213&lt;=E213+TIME(0,30,0),0,
30+((H213-(E213+TIME(0,30,0)))*1440)))</f>
        <v>131.00000000000006</v>
      </c>
      <c r="M213" s="23">
        <f>(L213/60)*VLOOKUP(C213,Employees!A:J,10,0)*2</f>
        <v>94.341563786008265</v>
      </c>
      <c r="N213" s="24">
        <f t="shared" ref="N213:N217" si="122">IF(OR(I213="",G213="غياب",G213="إجازة أسبوعية",I213&lt;=F213),0,
IF(MOD(I213-F213,1)&lt;=TIME(0,25,0),0,MAX(0,(I213-F213)*1440)))</f>
        <v>0</v>
      </c>
      <c r="O213" s="25">
        <f>(N213/60)*VLOOKUP(C213,Employees!A:J,10,0)*1.5</f>
        <v>0</v>
      </c>
      <c r="P213" s="23">
        <f>IF(G213="غياب",VLOOKUP(C213,Employees!$A$3:$J$36,9,FALSE()),0)</f>
        <v>0</v>
      </c>
    </row>
    <row r="214" spans="1:16" ht="15" customHeight="1">
      <c r="A214" s="17" t="s">
        <v>67</v>
      </c>
      <c r="B214" s="19" t="s">
        <v>68</v>
      </c>
      <c r="C214" s="19" t="s">
        <v>20</v>
      </c>
      <c r="D214" s="19" t="str">
        <f>VLOOKUP(C214,Employees!A:J,2,0)</f>
        <v>احمد رمصان</v>
      </c>
      <c r="E214" s="30">
        <v>0.45833333333333298</v>
      </c>
      <c r="F214" s="20">
        <v>0.875</v>
      </c>
      <c r="G214" s="21" t="s">
        <v>69</v>
      </c>
      <c r="H214" s="20">
        <v>0.45694444444444443</v>
      </c>
      <c r="I214" s="20">
        <v>0.85555555555555551</v>
      </c>
      <c r="J214" s="22">
        <f t="shared" si="120"/>
        <v>0</v>
      </c>
      <c r="K214" s="47">
        <f>(J214/60)*VLOOKUP(C214,Employees!A:J,10,0)*1.5</f>
        <v>0</v>
      </c>
      <c r="L214" s="22">
        <f t="shared" si="121"/>
        <v>0</v>
      </c>
      <c r="M214" s="23">
        <f>(L214/60)*VLOOKUP(C214,Employees!A:J,10,0)*2</f>
        <v>0</v>
      </c>
      <c r="N214" s="24">
        <f t="shared" si="122"/>
        <v>0</v>
      </c>
      <c r="O214" s="25">
        <f>(N214/60)*VLOOKUP(C214,Employees!A:J,10,0)*1.5</f>
        <v>0</v>
      </c>
      <c r="P214" s="23">
        <f>IF(G214="غياب",VLOOKUP(C214,Employees!$A$3:$J$36,9,FALSE()),0)</f>
        <v>0</v>
      </c>
    </row>
    <row r="215" spans="1:16" ht="15" customHeight="1">
      <c r="A215" s="17" t="s">
        <v>70</v>
      </c>
      <c r="B215" s="19" t="s">
        <v>71</v>
      </c>
      <c r="C215" s="19" t="s">
        <v>20</v>
      </c>
      <c r="D215" s="19" t="str">
        <f>VLOOKUP(C215,Employees!A:J,2,0)</f>
        <v>احمد رمصان</v>
      </c>
      <c r="E215" s="30">
        <v>0.45833333333333298</v>
      </c>
      <c r="F215" s="20">
        <v>0.875</v>
      </c>
      <c r="G215" s="21" t="s">
        <v>69</v>
      </c>
      <c r="H215" s="20">
        <v>0.47222222222222221</v>
      </c>
      <c r="I215" s="20">
        <v>0.88958333333333328</v>
      </c>
      <c r="J215" s="22">
        <f t="shared" si="120"/>
        <v>0</v>
      </c>
      <c r="K215" s="47">
        <f>(J215/60)*VLOOKUP(C215,Employees!A:J,10,0)*1.5</f>
        <v>0</v>
      </c>
      <c r="L215" s="22">
        <f t="shared" si="121"/>
        <v>0</v>
      </c>
      <c r="M215" s="23">
        <f>(L215/60)*VLOOKUP(C215,Employees!A:J,10,0)*2</f>
        <v>0</v>
      </c>
      <c r="N215" s="24">
        <f t="shared" si="122"/>
        <v>0</v>
      </c>
      <c r="O215" s="25">
        <f>(N215/60)*VLOOKUP(C215,Employees!A:J,10,0)*1.5</f>
        <v>0</v>
      </c>
      <c r="P215" s="23">
        <f>IF(G215="غياب",VLOOKUP(C215,Employees!$A$3:$J$36,9,FALSE()),0)</f>
        <v>0</v>
      </c>
    </row>
    <row r="216" spans="1:16" ht="15" customHeight="1">
      <c r="A216" s="17" t="s">
        <v>72</v>
      </c>
      <c r="B216" s="19" t="s">
        <v>73</v>
      </c>
      <c r="C216" s="19" t="s">
        <v>20</v>
      </c>
      <c r="D216" s="19" t="str">
        <f>VLOOKUP(C216,Employees!A:J,2,0)</f>
        <v>احمد رمصان</v>
      </c>
      <c r="E216" s="30">
        <v>0.45833333333333298</v>
      </c>
      <c r="F216" s="20">
        <v>0.875</v>
      </c>
      <c r="G216" s="21" t="s">
        <v>69</v>
      </c>
      <c r="H216" s="20">
        <f>E216</f>
        <v>0.45833333333333298</v>
      </c>
      <c r="I216" s="20">
        <v>0.8930555555555556</v>
      </c>
      <c r="J216" s="22">
        <f t="shared" si="120"/>
        <v>0</v>
      </c>
      <c r="K216" s="47">
        <f>(J216/60)*VLOOKUP(C216,Employees!A:J,10,0)*1.5</f>
        <v>0</v>
      </c>
      <c r="L216" s="22">
        <f t="shared" si="121"/>
        <v>0</v>
      </c>
      <c r="M216" s="23">
        <f>(L216/60)*VLOOKUP(C216,Employees!A:J,10,0)*2</f>
        <v>0</v>
      </c>
      <c r="N216" s="24">
        <f t="shared" si="122"/>
        <v>26.000000000000068</v>
      </c>
      <c r="O216" s="25">
        <f>(N216/60)*VLOOKUP(C216,Employees!A:J,10,0)*1.5</f>
        <v>16.851851851851894</v>
      </c>
      <c r="P216" s="23">
        <f>IF(G216="غياب",VLOOKUP(C216,Employees!$A$3:$J$36,9,FALSE()),0)</f>
        <v>0</v>
      </c>
    </row>
    <row r="217" spans="1:16" ht="15" customHeight="1">
      <c r="A217" s="17" t="s">
        <v>74</v>
      </c>
      <c r="B217" s="19" t="s">
        <v>75</v>
      </c>
      <c r="C217" s="19" t="s">
        <v>20</v>
      </c>
      <c r="D217" s="19" t="str">
        <f>VLOOKUP(C217,Employees!A:J,2,0)</f>
        <v>احمد رمصان</v>
      </c>
      <c r="E217" s="30">
        <v>0.45833333333333298</v>
      </c>
      <c r="F217" s="20">
        <v>0.875</v>
      </c>
      <c r="G217" s="21" t="s">
        <v>69</v>
      </c>
      <c r="H217" s="20">
        <v>0.47430555555555554</v>
      </c>
      <c r="I217" s="20">
        <v>0.86250000000000004</v>
      </c>
      <c r="J217" s="22">
        <f t="shared" si="120"/>
        <v>0</v>
      </c>
      <c r="K217" s="47">
        <f>(J217/60)*VLOOKUP(C217,Employees!A:J,10,0)*1.5</f>
        <v>0</v>
      </c>
      <c r="L217" s="22">
        <f t="shared" si="121"/>
        <v>0</v>
      </c>
      <c r="M217" s="23">
        <f>(L217/60)*VLOOKUP(C217,Employees!A:J,10,0)*2</f>
        <v>0</v>
      </c>
      <c r="N217" s="24">
        <f t="shared" si="122"/>
        <v>0</v>
      </c>
      <c r="O217" s="25">
        <f>(N217/60)*VLOOKUP(C217,Employees!A:J,10,0)*1.5</f>
        <v>0</v>
      </c>
      <c r="P217" s="23">
        <f>IF(G217="غياب",VLOOKUP(C217,Employees!$A$3:$J$36,9,FALSE()),0)</f>
        <v>0</v>
      </c>
    </row>
    <row r="218" spans="1:16" ht="15" customHeight="1">
      <c r="A218" s="26" t="s">
        <v>76</v>
      </c>
      <c r="B218" s="28" t="s">
        <v>77</v>
      </c>
      <c r="C218" s="28" t="s">
        <v>20</v>
      </c>
      <c r="D218" s="28" t="str">
        <f>VLOOKUP(C218,Employees!A:J,2,0)</f>
        <v>احمد رمصان</v>
      </c>
      <c r="E218" s="29" t="s">
        <v>78</v>
      </c>
      <c r="F218" s="29" t="s">
        <v>78</v>
      </c>
      <c r="G218" s="27" t="s">
        <v>79</v>
      </c>
      <c r="H218" s="29" t="s">
        <v>78</v>
      </c>
      <c r="I218" s="29" t="s">
        <v>78</v>
      </c>
      <c r="J218" s="22" t="s">
        <v>78</v>
      </c>
      <c r="K218" s="47" t="s">
        <v>78</v>
      </c>
      <c r="L218" s="22" t="s">
        <v>78</v>
      </c>
      <c r="M218" s="23" t="s">
        <v>78</v>
      </c>
      <c r="N218" s="24" t="s">
        <v>78</v>
      </c>
      <c r="O218" s="24" t="s">
        <v>78</v>
      </c>
      <c r="P218" s="23">
        <f>IF(G218="غياب",VLOOKUP(C218,Employees!$A$3:$J$36,9,FALSE()),0)</f>
        <v>0</v>
      </c>
    </row>
    <row r="219" spans="1:16" ht="15" customHeight="1">
      <c r="A219" s="17" t="s">
        <v>80</v>
      </c>
      <c r="B219" s="19" t="s">
        <v>81</v>
      </c>
      <c r="C219" s="19" t="s">
        <v>20</v>
      </c>
      <c r="D219" s="19" t="str">
        <f>VLOOKUP(C219,Employees!A:J,2,0)</f>
        <v>احمد رمصان</v>
      </c>
      <c r="E219" s="30">
        <v>0.45833333333333298</v>
      </c>
      <c r="F219" s="20">
        <v>0.875</v>
      </c>
      <c r="G219" s="21" t="s">
        <v>69</v>
      </c>
      <c r="H219" s="20">
        <v>0.47638888888888886</v>
      </c>
      <c r="I219" s="20">
        <v>0.86319444444444449</v>
      </c>
      <c r="J219" s="22">
        <f t="shared" ref="J219:J224" si="123">IF(OR(H219="",G219="غياب",G219="إجازة أسبوعية"),0,
IF(H219&gt;=E219-TIME(0,20,0),0,
IF(H219&gt;=E219-TIME(0,30,0),30,(E219-H219)*1440)))</f>
        <v>0</v>
      </c>
      <c r="K219" s="47">
        <f>(J219/60)*VLOOKUP(C219,Employees!A:J,10,0)*1.5</f>
        <v>0</v>
      </c>
      <c r="L219" s="22">
        <f t="shared" ref="L219:L224" si="124">IF(OR(H219="",G219="غياب",G219="إجازة أسبوعية"),0,
IF(H219&lt;=E219+TIME(0,30,0),0,
30+((H219-(E219+TIME(0,30,0)))*1440)))</f>
        <v>0</v>
      </c>
      <c r="M219" s="23">
        <f>(L219/60)*VLOOKUP(C219,Employees!A:J,10,0)*2</f>
        <v>0</v>
      </c>
      <c r="N219" s="24">
        <f t="shared" ref="N219:N224" si="125">IF(OR(I219="",G219="غياب",G219="إجازة أسبوعية",I219&lt;=F219),0,
IF(MOD(I219-F219,1)&lt;=TIME(0,25,0),0,MAX(0,(I219-F219)*1440)))</f>
        <v>0</v>
      </c>
      <c r="O219" s="25">
        <f>(N219/60)*VLOOKUP(C219,Employees!A:J,10,0)*1.5</f>
        <v>0</v>
      </c>
      <c r="P219" s="23">
        <f>IF(G219="غياب",VLOOKUP(C219,Employees!$A$3:$J$36,9,FALSE()),0)</f>
        <v>0</v>
      </c>
    </row>
    <row r="220" spans="1:16" ht="15" customHeight="1">
      <c r="A220" s="17" t="s">
        <v>82</v>
      </c>
      <c r="B220" s="19" t="s">
        <v>83</v>
      </c>
      <c r="C220" s="19" t="s">
        <v>20</v>
      </c>
      <c r="D220" s="19" t="str">
        <f>VLOOKUP(C220,Employees!A:J,2,0)</f>
        <v>احمد رمصان</v>
      </c>
      <c r="E220" s="30">
        <v>0.45833333333333298</v>
      </c>
      <c r="F220" s="20">
        <v>0.875</v>
      </c>
      <c r="G220" s="21" t="s">
        <v>69</v>
      </c>
      <c r="H220" s="20">
        <v>0.46388888888888891</v>
      </c>
      <c r="I220" s="20">
        <v>0.86111111111111116</v>
      </c>
      <c r="J220" s="22">
        <f t="shared" si="123"/>
        <v>0</v>
      </c>
      <c r="K220" s="47">
        <f>(J220/60)*VLOOKUP(C220,Employees!A:J,10,0)*1.5</f>
        <v>0</v>
      </c>
      <c r="L220" s="22">
        <f t="shared" si="124"/>
        <v>0</v>
      </c>
      <c r="M220" s="23">
        <f>(L220/60)*VLOOKUP(C220,Employees!A:J,10,0)*2</f>
        <v>0</v>
      </c>
      <c r="N220" s="24">
        <f t="shared" si="125"/>
        <v>0</v>
      </c>
      <c r="O220" s="25">
        <f>(N220/60)*VLOOKUP(C220,Employees!A:J,10,0)*1.5</f>
        <v>0</v>
      </c>
      <c r="P220" s="23">
        <f>IF(G220="غياب",VLOOKUP(C220,Employees!$A$3:$J$36,9,FALSE()),0)</f>
        <v>0</v>
      </c>
    </row>
    <row r="221" spans="1:16" ht="15" customHeight="1">
      <c r="A221" s="17" t="s">
        <v>84</v>
      </c>
      <c r="B221" s="19" t="s">
        <v>68</v>
      </c>
      <c r="C221" s="19" t="s">
        <v>20</v>
      </c>
      <c r="D221" s="19" t="str">
        <f>VLOOKUP(C221,Employees!A:J,2,0)</f>
        <v>احمد رمصان</v>
      </c>
      <c r="E221" s="30">
        <v>0.45833333333333298</v>
      </c>
      <c r="F221" s="20">
        <v>0.875</v>
      </c>
      <c r="G221" s="21" t="s">
        <v>69</v>
      </c>
      <c r="H221" s="20">
        <v>0.46388888888888891</v>
      </c>
      <c r="I221" s="20">
        <v>0.86041666666666672</v>
      </c>
      <c r="J221" s="22">
        <f t="shared" si="123"/>
        <v>0</v>
      </c>
      <c r="K221" s="47">
        <f>(J221/60)*VLOOKUP(C221,Employees!A:J,10,0)*1.5</f>
        <v>0</v>
      </c>
      <c r="L221" s="22">
        <f t="shared" si="124"/>
        <v>0</v>
      </c>
      <c r="M221" s="23">
        <f>(L221/60)*VLOOKUP(C221,Employees!A:J,10,0)*2</f>
        <v>0</v>
      </c>
      <c r="N221" s="24">
        <f t="shared" si="125"/>
        <v>0</v>
      </c>
      <c r="O221" s="25">
        <f>(N221/60)*VLOOKUP(C221,Employees!A:J,10,0)*1.5</f>
        <v>0</v>
      </c>
      <c r="P221" s="23">
        <f>IF(G221="غياب",VLOOKUP(C221,Employees!$A$3:$J$36,9,FALSE()),0)</f>
        <v>0</v>
      </c>
    </row>
    <row r="222" spans="1:16" ht="15" customHeight="1">
      <c r="A222" s="17" t="s">
        <v>85</v>
      </c>
      <c r="B222" s="19" t="s">
        <v>71</v>
      </c>
      <c r="C222" s="19" t="s">
        <v>20</v>
      </c>
      <c r="D222" s="19" t="str">
        <f>VLOOKUP(C222,Employees!A:J,2,0)</f>
        <v>احمد رمصان</v>
      </c>
      <c r="E222" s="30">
        <v>0.45833333333333298</v>
      </c>
      <c r="F222" s="20">
        <v>0.875</v>
      </c>
      <c r="G222" s="21" t="s">
        <v>69</v>
      </c>
      <c r="H222" s="20">
        <v>0.46805555555555556</v>
      </c>
      <c r="I222" s="20">
        <v>0.8833333333333333</v>
      </c>
      <c r="J222" s="22">
        <f t="shared" si="123"/>
        <v>0</v>
      </c>
      <c r="K222" s="47">
        <f>(J222/60)*VLOOKUP(C222,Employees!A:J,10,0)*1.5</f>
        <v>0</v>
      </c>
      <c r="L222" s="22">
        <f t="shared" si="124"/>
        <v>0</v>
      </c>
      <c r="M222" s="23">
        <f>(L222/60)*VLOOKUP(C222,Employees!A:J,10,0)*2</f>
        <v>0</v>
      </c>
      <c r="N222" s="24">
        <f t="shared" si="125"/>
        <v>0</v>
      </c>
      <c r="O222" s="25">
        <f>(N222/60)*VLOOKUP(C222,Employees!A:J,10,0)*1.5</f>
        <v>0</v>
      </c>
      <c r="P222" s="23">
        <f>IF(G222="غياب",VLOOKUP(C222,Employees!$A$3:$J$36,9,FALSE()),0)</f>
        <v>0</v>
      </c>
    </row>
    <row r="223" spans="1:16" ht="15" customHeight="1">
      <c r="A223" s="17" t="s">
        <v>86</v>
      </c>
      <c r="B223" s="19" t="s">
        <v>73</v>
      </c>
      <c r="C223" s="19" t="s">
        <v>20</v>
      </c>
      <c r="D223" s="19" t="str">
        <f>VLOOKUP(C223,Employees!A:J,2,0)</f>
        <v>احمد رمصان</v>
      </c>
      <c r="E223" s="30">
        <v>0.45833333333333298</v>
      </c>
      <c r="F223" s="20">
        <v>0.875</v>
      </c>
      <c r="G223" s="21" t="s">
        <v>69</v>
      </c>
      <c r="H223" s="20">
        <f>E223</f>
        <v>0.45833333333333298</v>
      </c>
      <c r="I223" s="20">
        <v>0.90763888888888888</v>
      </c>
      <c r="J223" s="22">
        <f t="shared" si="123"/>
        <v>0</v>
      </c>
      <c r="K223" s="47">
        <f>(J223/60)*VLOOKUP(C223,Employees!A:J,10,0)*1.5</f>
        <v>0</v>
      </c>
      <c r="L223" s="22">
        <f t="shared" si="124"/>
        <v>0</v>
      </c>
      <c r="M223" s="23">
        <f>(L223/60)*VLOOKUP(C223,Employees!A:J,10,0)*2</f>
        <v>0</v>
      </c>
      <c r="N223" s="24">
        <f t="shared" si="125"/>
        <v>46.999999999999993</v>
      </c>
      <c r="O223" s="25">
        <f>(N223/60)*VLOOKUP(C223,Employees!A:J,10,0)*1.5</f>
        <v>30.462962962962958</v>
      </c>
      <c r="P223" s="23">
        <f>IF(G223="غياب",VLOOKUP(C223,Employees!$A$3:$J$36,9,FALSE()),0)</f>
        <v>0</v>
      </c>
    </row>
    <row r="224" spans="1:16" ht="15" customHeight="1">
      <c r="A224" s="17" t="s">
        <v>87</v>
      </c>
      <c r="B224" s="19" t="s">
        <v>75</v>
      </c>
      <c r="C224" s="19" t="s">
        <v>20</v>
      </c>
      <c r="D224" s="19" t="str">
        <f>VLOOKUP(C224,Employees!A:J,2,0)</f>
        <v>احمد رمصان</v>
      </c>
      <c r="E224" s="30">
        <v>0.5</v>
      </c>
      <c r="F224" s="20">
        <v>0.91666666666666696</v>
      </c>
      <c r="G224" s="21" t="s">
        <v>69</v>
      </c>
      <c r="H224" s="20">
        <v>0.50277777777777777</v>
      </c>
      <c r="I224" s="20">
        <v>0.89236111111111116</v>
      </c>
      <c r="J224" s="22">
        <f t="shared" si="123"/>
        <v>0</v>
      </c>
      <c r="K224" s="47">
        <f>(J224/60)*VLOOKUP(C224,Employees!A:J,10,0)*1.5</f>
        <v>0</v>
      </c>
      <c r="L224" s="22">
        <f t="shared" si="124"/>
        <v>0</v>
      </c>
      <c r="M224" s="23">
        <f>(L224/60)*VLOOKUP(C224,Employees!A:J,10,0)*2</f>
        <v>0</v>
      </c>
      <c r="N224" s="24">
        <f t="shared" si="125"/>
        <v>0</v>
      </c>
      <c r="O224" s="25">
        <f>(N224/60)*VLOOKUP(C224,Employees!A:J,10,0)*1.5</f>
        <v>0</v>
      </c>
      <c r="P224" s="23">
        <f>IF(G224="غياب",VLOOKUP(C224,Employees!$A$3:$J$36,9,FALSE()),0)</f>
        <v>0</v>
      </c>
    </row>
    <row r="225" spans="1:16" ht="15" customHeight="1">
      <c r="A225" s="26" t="s">
        <v>88</v>
      </c>
      <c r="B225" s="28" t="s">
        <v>77</v>
      </c>
      <c r="C225" s="28" t="s">
        <v>20</v>
      </c>
      <c r="D225" s="28" t="str">
        <f>VLOOKUP(C225,Employees!A:J,2,0)</f>
        <v>احمد رمصان</v>
      </c>
      <c r="E225" s="29" t="s">
        <v>78</v>
      </c>
      <c r="F225" s="29" t="s">
        <v>78</v>
      </c>
      <c r="G225" s="27" t="s">
        <v>79</v>
      </c>
      <c r="H225" s="29" t="s">
        <v>78</v>
      </c>
      <c r="I225" s="29" t="s">
        <v>78</v>
      </c>
      <c r="J225" s="22" t="s">
        <v>78</v>
      </c>
      <c r="K225" s="47" t="s">
        <v>78</v>
      </c>
      <c r="L225" s="22" t="s">
        <v>78</v>
      </c>
      <c r="M225" s="23" t="s">
        <v>78</v>
      </c>
      <c r="N225" s="24" t="s">
        <v>78</v>
      </c>
      <c r="O225" s="24" t="s">
        <v>78</v>
      </c>
      <c r="P225" s="23">
        <f>IF(G225="غياب",VLOOKUP(C225,Employees!$A$3:$J$36,9,FALSE()),0)</f>
        <v>0</v>
      </c>
    </row>
    <row r="226" spans="1:16" ht="15" customHeight="1">
      <c r="A226" s="26" t="s">
        <v>89</v>
      </c>
      <c r="B226" s="28" t="s">
        <v>81</v>
      </c>
      <c r="C226" s="28" t="s">
        <v>20</v>
      </c>
      <c r="D226" s="28" t="str">
        <f>VLOOKUP(C226,Employees!A:J,2,0)</f>
        <v>احمد رمصان</v>
      </c>
      <c r="E226" s="29" t="s">
        <v>78</v>
      </c>
      <c r="F226" s="29" t="s">
        <v>78</v>
      </c>
      <c r="G226" s="27" t="s">
        <v>79</v>
      </c>
      <c r="H226" s="29" t="s">
        <v>78</v>
      </c>
      <c r="I226" s="29" t="s">
        <v>78</v>
      </c>
      <c r="J226" s="22" t="s">
        <v>78</v>
      </c>
      <c r="K226" s="47" t="s">
        <v>78</v>
      </c>
      <c r="L226" s="22" t="s">
        <v>78</v>
      </c>
      <c r="M226" s="23" t="s">
        <v>78</v>
      </c>
      <c r="N226" s="24" t="s">
        <v>78</v>
      </c>
      <c r="O226" s="24" t="s">
        <v>78</v>
      </c>
      <c r="P226" s="23">
        <f>IF(G226="غياب",VLOOKUP(C226,Employees!$A$3:$J$36,9,FALSE()),0)</f>
        <v>0</v>
      </c>
    </row>
    <row r="227" spans="1:16" ht="15" customHeight="1">
      <c r="A227" s="17" t="s">
        <v>90</v>
      </c>
      <c r="B227" s="19" t="s">
        <v>83</v>
      </c>
      <c r="C227" s="19" t="s">
        <v>20</v>
      </c>
      <c r="D227" s="19" t="str">
        <f>VLOOKUP(C227,Employees!A:J,2,0)</f>
        <v>احمد رمصان</v>
      </c>
      <c r="E227" s="30">
        <v>0.5</v>
      </c>
      <c r="F227" s="20">
        <v>0.91666666666666696</v>
      </c>
      <c r="G227" s="21" t="s">
        <v>69</v>
      </c>
      <c r="H227" s="20">
        <v>0.50069444444444444</v>
      </c>
      <c r="I227" s="20">
        <v>0.90763888888888888</v>
      </c>
      <c r="J227" s="22">
        <f t="shared" ref="J227:J231" si="126">IF(OR(H227="",G227="غياب",G227="إجازة أسبوعية"),0,
IF(H227&gt;=E227-TIME(0,20,0),0,
IF(H227&gt;=E227-TIME(0,30,0),30,(E227-H227)*1440)))</f>
        <v>0</v>
      </c>
      <c r="K227" s="47">
        <f>(J227/60)*VLOOKUP(C227,Employees!A:J,10,0)*1.5</f>
        <v>0</v>
      </c>
      <c r="L227" s="22">
        <f t="shared" ref="L227:L231" si="127">IF(OR(H227="",G227="غياب",G227="إجازة أسبوعية"),0,
IF(H227&lt;=E227+TIME(0,30,0),0,
30+((H227-(E227+TIME(0,30,0)))*1440)))</f>
        <v>0</v>
      </c>
      <c r="M227" s="23">
        <f>(L227/60)*VLOOKUP(C227,Employees!A:J,10,0)*2</f>
        <v>0</v>
      </c>
      <c r="N227" s="24">
        <f t="shared" ref="N227:N231" si="128">IF(OR(I227="",G227="غياب",G227="إجازة أسبوعية",I227&lt;=F227),0,
IF(MOD(I227-F227,1)&lt;=TIME(0,25,0),0,MAX(0,(I227-F227)*1440)))</f>
        <v>0</v>
      </c>
      <c r="O227" s="25">
        <f>(N227/60)*VLOOKUP(C227,Employees!A:J,10,0)*1.5</f>
        <v>0</v>
      </c>
      <c r="P227" s="23">
        <f>IF(G227="غياب",VLOOKUP(C227,Employees!$A$3:$J$36,9,FALSE()),0)</f>
        <v>0</v>
      </c>
    </row>
    <row r="228" spans="1:16" ht="15" customHeight="1">
      <c r="A228" s="17" t="s">
        <v>91</v>
      </c>
      <c r="B228" s="19" t="s">
        <v>68</v>
      </c>
      <c r="C228" s="19" t="s">
        <v>20</v>
      </c>
      <c r="D228" s="19" t="str">
        <f>VLOOKUP(C228,Employees!A:J,2,0)</f>
        <v>احمد رمصان</v>
      </c>
      <c r="E228" s="30">
        <v>0.5</v>
      </c>
      <c r="F228" s="20">
        <v>0.91666666666666696</v>
      </c>
      <c r="G228" s="21" t="s">
        <v>69</v>
      </c>
      <c r="H228" s="20">
        <v>0.51249999999999996</v>
      </c>
      <c r="I228" s="20">
        <v>0.90625</v>
      </c>
      <c r="J228" s="22">
        <f t="shared" si="126"/>
        <v>0</v>
      </c>
      <c r="K228" s="47">
        <f>(J228/60)*VLOOKUP(C228,Employees!A:J,10,0)*1.5</f>
        <v>0</v>
      </c>
      <c r="L228" s="22">
        <f t="shared" si="127"/>
        <v>0</v>
      </c>
      <c r="M228" s="23">
        <f>(L228/60)*VLOOKUP(C228,Employees!A:J,10,0)*2</f>
        <v>0</v>
      </c>
      <c r="N228" s="24">
        <f t="shared" si="128"/>
        <v>0</v>
      </c>
      <c r="O228" s="25">
        <f>(N228/60)*VLOOKUP(C228,Employees!A:J,10,0)*1.5</f>
        <v>0</v>
      </c>
      <c r="P228" s="23">
        <f>IF(G228="غياب",VLOOKUP(C228,Employees!$A$3:$J$36,9,FALSE()),0)</f>
        <v>0</v>
      </c>
    </row>
    <row r="229" spans="1:16" ht="15" customHeight="1">
      <c r="A229" s="17" t="s">
        <v>92</v>
      </c>
      <c r="B229" s="19" t="s">
        <v>71</v>
      </c>
      <c r="C229" s="19" t="s">
        <v>20</v>
      </c>
      <c r="D229" s="19" t="str">
        <f>VLOOKUP(C229,Employees!A:J,2,0)</f>
        <v>احمد رمصان</v>
      </c>
      <c r="E229" s="30">
        <v>0.5</v>
      </c>
      <c r="F229" s="20">
        <v>0.91666666666666696</v>
      </c>
      <c r="G229" s="21" t="s">
        <v>69</v>
      </c>
      <c r="H229" s="20">
        <v>0.50208333333333333</v>
      </c>
      <c r="I229" s="20">
        <v>0.90069444444444446</v>
      </c>
      <c r="J229" s="22">
        <f t="shared" si="126"/>
        <v>0</v>
      </c>
      <c r="K229" s="47">
        <f>(J229/60)*VLOOKUP(C229,Employees!A:J,10,0)*1.5</f>
        <v>0</v>
      </c>
      <c r="L229" s="22">
        <f t="shared" si="127"/>
        <v>0</v>
      </c>
      <c r="M229" s="23">
        <f>(L229/60)*VLOOKUP(C229,Employees!A:J,10,0)*2</f>
        <v>0</v>
      </c>
      <c r="N229" s="24">
        <f t="shared" si="128"/>
        <v>0</v>
      </c>
      <c r="O229" s="25">
        <f>(N229/60)*VLOOKUP(C229,Employees!A:J,10,0)*1.5</f>
        <v>0</v>
      </c>
      <c r="P229" s="23">
        <f>IF(G229="غياب",VLOOKUP(C229,Employees!$A$3:$J$36,9,FALSE()),0)</f>
        <v>0</v>
      </c>
    </row>
    <row r="230" spans="1:16" ht="15" customHeight="1">
      <c r="A230" s="17" t="s">
        <v>93</v>
      </c>
      <c r="B230" s="19" t="s">
        <v>73</v>
      </c>
      <c r="C230" s="19" t="s">
        <v>20</v>
      </c>
      <c r="D230" s="19" t="str">
        <f>VLOOKUP(C230,Employees!A:J,2,0)</f>
        <v>احمد رمصان</v>
      </c>
      <c r="E230" s="30">
        <v>0.5</v>
      </c>
      <c r="F230" s="20">
        <v>0.91666666666666696</v>
      </c>
      <c r="G230" s="21" t="s">
        <v>69</v>
      </c>
      <c r="H230" s="20">
        <v>0.51597222222222228</v>
      </c>
      <c r="I230" s="20">
        <v>0.91180555555555554</v>
      </c>
      <c r="J230" s="22">
        <f t="shared" si="126"/>
        <v>0</v>
      </c>
      <c r="K230" s="47">
        <f>(J230/60)*VLOOKUP(C230,Employees!A:J,10,0)*1.5</f>
        <v>0</v>
      </c>
      <c r="L230" s="22">
        <f t="shared" si="127"/>
        <v>0</v>
      </c>
      <c r="M230" s="23">
        <f>(L230/60)*VLOOKUP(C230,Employees!A:J,10,0)*2</f>
        <v>0</v>
      </c>
      <c r="N230" s="24">
        <f t="shared" si="128"/>
        <v>0</v>
      </c>
      <c r="O230" s="25">
        <f>(N230/60)*VLOOKUP(C230,Employees!A:J,10,0)*1.5</f>
        <v>0</v>
      </c>
      <c r="P230" s="23">
        <f>IF(G230="غياب",VLOOKUP(C230,Employees!$A$3:$J$36,9,FALSE()),0)</f>
        <v>0</v>
      </c>
    </row>
    <row r="231" spans="1:16" ht="15" customHeight="1">
      <c r="A231" s="17" t="s">
        <v>94</v>
      </c>
      <c r="B231" s="19" t="s">
        <v>75</v>
      </c>
      <c r="C231" s="19" t="s">
        <v>20</v>
      </c>
      <c r="D231" s="19" t="str">
        <f>VLOOKUP(C231,Employees!A:J,2,0)</f>
        <v>احمد رمصان</v>
      </c>
      <c r="E231" s="30">
        <v>0.5</v>
      </c>
      <c r="F231" s="20">
        <v>0.91666666666666696</v>
      </c>
      <c r="G231" s="21" t="s">
        <v>69</v>
      </c>
      <c r="H231" s="20">
        <v>0.5</v>
      </c>
      <c r="I231" s="20">
        <v>0.90694444444444444</v>
      </c>
      <c r="J231" s="22">
        <f t="shared" si="126"/>
        <v>0</v>
      </c>
      <c r="K231" s="47">
        <f>(J231/60)*VLOOKUP(C231,Employees!A:J,10,0)*1.5</f>
        <v>0</v>
      </c>
      <c r="L231" s="22">
        <f t="shared" si="127"/>
        <v>0</v>
      </c>
      <c r="M231" s="23">
        <f>(L231/60)*VLOOKUP(C231,Employees!A:J,10,0)*2</f>
        <v>0</v>
      </c>
      <c r="N231" s="24">
        <f t="shared" si="128"/>
        <v>0</v>
      </c>
      <c r="O231" s="25">
        <f>(N231/60)*VLOOKUP(C231,Employees!A:J,10,0)*1.5</f>
        <v>0</v>
      </c>
      <c r="P231" s="23">
        <f>IF(G231="غياب",VLOOKUP(C231,Employees!$A$3:$J$36,9,FALSE()),0)</f>
        <v>0</v>
      </c>
    </row>
    <row r="232" spans="1:16" ht="15" customHeight="1">
      <c r="A232" s="26" t="s">
        <v>95</v>
      </c>
      <c r="B232" s="28" t="s">
        <v>77</v>
      </c>
      <c r="C232" s="28" t="s">
        <v>20</v>
      </c>
      <c r="D232" s="28" t="str">
        <f>VLOOKUP(C232,Employees!A:J,2,0)</f>
        <v>احمد رمصان</v>
      </c>
      <c r="E232" s="29" t="s">
        <v>78</v>
      </c>
      <c r="F232" s="29" t="s">
        <v>78</v>
      </c>
      <c r="G232" s="27" t="s">
        <v>79</v>
      </c>
      <c r="H232" s="29" t="s">
        <v>78</v>
      </c>
      <c r="I232" s="29" t="s">
        <v>78</v>
      </c>
      <c r="J232" s="22" t="s">
        <v>78</v>
      </c>
      <c r="K232" s="47" t="s">
        <v>78</v>
      </c>
      <c r="L232" s="22" t="s">
        <v>78</v>
      </c>
      <c r="M232" s="23" t="s">
        <v>78</v>
      </c>
      <c r="N232" s="24" t="s">
        <v>78</v>
      </c>
      <c r="O232" s="24" t="s">
        <v>78</v>
      </c>
      <c r="P232" s="23">
        <f>IF(G232="غياب",VLOOKUP(C232,Employees!$A$3:$J$36,9,FALSE()),0)</f>
        <v>0</v>
      </c>
    </row>
    <row r="233" spans="1:16" ht="15" customHeight="1">
      <c r="A233" s="17" t="s">
        <v>96</v>
      </c>
      <c r="B233" s="19" t="s">
        <v>81</v>
      </c>
      <c r="C233" s="19" t="s">
        <v>20</v>
      </c>
      <c r="D233" s="19" t="str">
        <f>VLOOKUP(C233,Employees!A:J,2,0)</f>
        <v>احمد رمصان</v>
      </c>
      <c r="E233" s="30">
        <v>0.5</v>
      </c>
      <c r="F233" s="20">
        <v>0.91666666666666696</v>
      </c>
      <c r="G233" s="21" t="s">
        <v>69</v>
      </c>
      <c r="H233" s="20">
        <v>0.49166666666666664</v>
      </c>
      <c r="I233" s="20">
        <v>0.90972222222222221</v>
      </c>
      <c r="J233" s="22">
        <f t="shared" ref="J233:J238" si="129">IF(OR(H233="",G233="غياب",G233="إجازة أسبوعية"),0,
IF(H233&gt;=E233-TIME(0,20,0),0,
IF(H233&gt;=E233-TIME(0,30,0),30,(E233-H233)*1440)))</f>
        <v>0</v>
      </c>
      <c r="K233" s="47">
        <f>(J233/60)*VLOOKUP(C233,Employees!A:J,10,0)*1.5</f>
        <v>0</v>
      </c>
      <c r="L233" s="22">
        <f t="shared" ref="L233:L238" si="130">IF(OR(H233="",G233="غياب",G233="إجازة أسبوعية"),0,
IF(H233&lt;=E233+TIME(0,30,0),0,
30+((H233-(E233+TIME(0,30,0)))*1440)))</f>
        <v>0</v>
      </c>
      <c r="M233" s="23">
        <f>(L233/60)*VLOOKUP(C233,Employees!A:J,10,0)*2</f>
        <v>0</v>
      </c>
      <c r="N233" s="24">
        <f t="shared" ref="N233:N238" si="131">IF(OR(I233="",G233="غياب",G233="إجازة أسبوعية",I233&lt;=F233),0,
IF(MOD(I233-F233,1)&lt;=TIME(0,25,0),0,MAX(0,(I233-F233)*1440)))</f>
        <v>0</v>
      </c>
      <c r="O233" s="25">
        <f>(N233/60)*VLOOKUP(C233,Employees!A:J,10,0)*1.5</f>
        <v>0</v>
      </c>
      <c r="P233" s="23">
        <f>IF(G233="غياب",VLOOKUP(C233,Employees!$A$3:$J$36,9,FALSE()),0)</f>
        <v>0</v>
      </c>
    </row>
    <row r="234" spans="1:16" ht="15" customHeight="1">
      <c r="A234" s="17" t="s">
        <v>97</v>
      </c>
      <c r="B234" s="19" t="s">
        <v>83</v>
      </c>
      <c r="C234" s="19" t="s">
        <v>20</v>
      </c>
      <c r="D234" s="19" t="str">
        <f>VLOOKUP(C234,Employees!A:J,2,0)</f>
        <v>احمد رمصان</v>
      </c>
      <c r="E234" s="30">
        <v>0.5</v>
      </c>
      <c r="F234" s="20">
        <v>0.91666666666666696</v>
      </c>
      <c r="G234" s="21" t="s">
        <v>69</v>
      </c>
      <c r="H234" s="20">
        <v>0.50624999999999998</v>
      </c>
      <c r="I234" s="20">
        <v>0.90833333333333333</v>
      </c>
      <c r="J234" s="22">
        <f t="shared" si="129"/>
        <v>0</v>
      </c>
      <c r="K234" s="47">
        <f>(J234/60)*VLOOKUP(C234,Employees!A:J,10,0)*1.5</f>
        <v>0</v>
      </c>
      <c r="L234" s="22">
        <f t="shared" si="130"/>
        <v>0</v>
      </c>
      <c r="M234" s="23">
        <f>(L234/60)*VLOOKUP(C234,Employees!A:J,10,0)*2</f>
        <v>0</v>
      </c>
      <c r="N234" s="24">
        <f t="shared" si="131"/>
        <v>0</v>
      </c>
      <c r="O234" s="25">
        <f>(N234/60)*VLOOKUP(C234,Employees!A:J,10,0)*1.5</f>
        <v>0</v>
      </c>
      <c r="P234" s="23">
        <f>IF(G234="غياب",VLOOKUP(C234,Employees!$A$3:$J$36,9,FALSE()),0)</f>
        <v>0</v>
      </c>
    </row>
    <row r="235" spans="1:16" ht="15" customHeight="1">
      <c r="A235" s="17" t="s">
        <v>98</v>
      </c>
      <c r="B235" s="19" t="s">
        <v>68</v>
      </c>
      <c r="C235" s="19" t="s">
        <v>20</v>
      </c>
      <c r="D235" s="19" t="str">
        <f>VLOOKUP(C235,Employees!A:J,2,0)</f>
        <v>احمد رمصان</v>
      </c>
      <c r="E235" s="30">
        <v>0.5</v>
      </c>
      <c r="F235" s="20">
        <v>0.91666666666666696</v>
      </c>
      <c r="G235" s="21" t="s">
        <v>69</v>
      </c>
      <c r="H235" s="20">
        <f>E235</f>
        <v>0.5</v>
      </c>
      <c r="I235" s="20">
        <v>0.89930555555555558</v>
      </c>
      <c r="J235" s="22">
        <f t="shared" si="129"/>
        <v>0</v>
      </c>
      <c r="K235" s="47">
        <f>(J235/60)*VLOOKUP(C235,Employees!A:J,10,0)*1.5</f>
        <v>0</v>
      </c>
      <c r="L235" s="22">
        <f t="shared" si="130"/>
        <v>0</v>
      </c>
      <c r="M235" s="23">
        <f>(L235/60)*VLOOKUP(C235,Employees!A:J,10,0)*2</f>
        <v>0</v>
      </c>
      <c r="N235" s="24">
        <f t="shared" si="131"/>
        <v>0</v>
      </c>
      <c r="O235" s="25">
        <f>(N235/60)*VLOOKUP(C235,Employees!A:J,10,0)*1.5</f>
        <v>0</v>
      </c>
      <c r="P235" s="23">
        <f>IF(G235="غياب",VLOOKUP(C235,Employees!$A$3:$J$36,9,FALSE()),0)</f>
        <v>0</v>
      </c>
    </row>
    <row r="236" spans="1:16" ht="15" customHeight="1">
      <c r="A236" s="17" t="s">
        <v>99</v>
      </c>
      <c r="B236" s="19" t="s">
        <v>71</v>
      </c>
      <c r="C236" s="19" t="s">
        <v>20</v>
      </c>
      <c r="D236" s="19" t="str">
        <f>VLOOKUP(C236,Employees!A:J,2,0)</f>
        <v>احمد رمصان</v>
      </c>
      <c r="E236" s="30">
        <v>0.5</v>
      </c>
      <c r="F236" s="20">
        <v>0.91666666666666696</v>
      </c>
      <c r="G236" s="21" t="s">
        <v>69</v>
      </c>
      <c r="H236" s="20">
        <v>0.50069444444444444</v>
      </c>
      <c r="I236" s="20">
        <v>0.90763888888888888</v>
      </c>
      <c r="J236" s="22">
        <f t="shared" si="129"/>
        <v>0</v>
      </c>
      <c r="K236" s="47">
        <f>(J236/60)*VLOOKUP(C236,Employees!A:J,10,0)*1.5</f>
        <v>0</v>
      </c>
      <c r="L236" s="22">
        <f t="shared" si="130"/>
        <v>0</v>
      </c>
      <c r="M236" s="23">
        <f>(L236/60)*VLOOKUP(C236,Employees!A:J,10,0)*2</f>
        <v>0</v>
      </c>
      <c r="N236" s="24">
        <f t="shared" si="131"/>
        <v>0</v>
      </c>
      <c r="O236" s="25">
        <f>(N236/60)*VLOOKUP(C236,Employees!A:J,10,0)*1.5</f>
        <v>0</v>
      </c>
      <c r="P236" s="23">
        <f>IF(G236="غياب",VLOOKUP(C236,Employees!$A$3:$J$36,9,FALSE()),0)</f>
        <v>0</v>
      </c>
    </row>
    <row r="237" spans="1:16" ht="15" customHeight="1">
      <c r="A237" s="17" t="s">
        <v>100</v>
      </c>
      <c r="B237" s="19" t="s">
        <v>73</v>
      </c>
      <c r="C237" s="19" t="s">
        <v>20</v>
      </c>
      <c r="D237" s="19" t="str">
        <f>VLOOKUP(C237,Employees!A:J,2,0)</f>
        <v>احمد رمصان</v>
      </c>
      <c r="E237" s="30">
        <v>0.45833333333333331</v>
      </c>
      <c r="F237" s="20">
        <v>0.875</v>
      </c>
      <c r="G237" s="21" t="s">
        <v>69</v>
      </c>
      <c r="H237" s="20">
        <v>0.46527777777777779</v>
      </c>
      <c r="I237" s="20">
        <v>0.875</v>
      </c>
      <c r="J237" s="22">
        <f t="shared" si="129"/>
        <v>0</v>
      </c>
      <c r="K237" s="47">
        <f>(J237/60)*VLOOKUP(C237,Employees!A:J,10,0)*1.5</f>
        <v>0</v>
      </c>
      <c r="L237" s="22">
        <f t="shared" si="130"/>
        <v>0</v>
      </c>
      <c r="M237" s="23">
        <f>(L237/60)*VLOOKUP(C237,Employees!A:J,10,0)*2</f>
        <v>0</v>
      </c>
      <c r="N237" s="24">
        <f t="shared" si="131"/>
        <v>0</v>
      </c>
      <c r="O237" s="25">
        <f>(N237/60)*VLOOKUP(C237,Employees!A:J,10,0)*1.5</f>
        <v>0</v>
      </c>
      <c r="P237" s="23">
        <f>IF(G237="غياب",VLOOKUP(C237,Employees!$A$3:$J$36,9,FALSE()),0)</f>
        <v>0</v>
      </c>
    </row>
    <row r="238" spans="1:16" ht="15" customHeight="1">
      <c r="A238" s="17" t="s">
        <v>101</v>
      </c>
      <c r="B238" s="19" t="s">
        <v>75</v>
      </c>
      <c r="C238" s="19" t="s">
        <v>20</v>
      </c>
      <c r="D238" s="19" t="str">
        <f>VLOOKUP(C238,Employees!A:J,2,0)</f>
        <v>احمد رمصان</v>
      </c>
      <c r="E238" s="30">
        <v>0.45833333333333331</v>
      </c>
      <c r="F238" s="20">
        <v>0.875</v>
      </c>
      <c r="G238" s="21" t="s">
        <v>69</v>
      </c>
      <c r="H238" s="20">
        <f>E238</f>
        <v>0.45833333333333331</v>
      </c>
      <c r="I238" s="20">
        <v>0.89375000000000004</v>
      </c>
      <c r="J238" s="22">
        <f t="shared" si="129"/>
        <v>0</v>
      </c>
      <c r="K238" s="47">
        <f>(J238/60)*VLOOKUP(C238,Employees!A:J,10,0)*1.5</f>
        <v>0</v>
      </c>
      <c r="L238" s="22">
        <f t="shared" si="130"/>
        <v>0</v>
      </c>
      <c r="M238" s="23">
        <f>(L238/60)*VLOOKUP(C238,Employees!A:J,10,0)*2</f>
        <v>0</v>
      </c>
      <c r="N238" s="24">
        <f t="shared" si="131"/>
        <v>27.000000000000064</v>
      </c>
      <c r="O238" s="25">
        <f>(N238/60)*VLOOKUP(C238,Employees!A:J,10,0)*1.5</f>
        <v>17.500000000000039</v>
      </c>
      <c r="P238" s="23">
        <f>IF(G238="غياب",VLOOKUP(C238,Employees!$A$3:$J$36,9,FALSE()),0)</f>
        <v>0</v>
      </c>
    </row>
    <row r="239" spans="1:16" ht="15" customHeight="1">
      <c r="A239" s="26" t="s">
        <v>102</v>
      </c>
      <c r="B239" s="28" t="s">
        <v>77</v>
      </c>
      <c r="C239" s="28" t="s">
        <v>20</v>
      </c>
      <c r="D239" s="28" t="str">
        <f>VLOOKUP(C239,Employees!A:J,2,0)</f>
        <v>احمد رمصان</v>
      </c>
      <c r="E239" s="29" t="s">
        <v>78</v>
      </c>
      <c r="F239" s="29" t="s">
        <v>78</v>
      </c>
      <c r="G239" s="27" t="s">
        <v>79</v>
      </c>
      <c r="H239" s="29" t="s">
        <v>78</v>
      </c>
      <c r="I239" s="29" t="s">
        <v>78</v>
      </c>
      <c r="J239" s="22" t="s">
        <v>78</v>
      </c>
      <c r="K239" s="47" t="s">
        <v>78</v>
      </c>
      <c r="L239" s="22" t="s">
        <v>78</v>
      </c>
      <c r="M239" s="23" t="s">
        <v>78</v>
      </c>
      <c r="N239" s="24" t="s">
        <v>78</v>
      </c>
      <c r="O239" s="24" t="s">
        <v>78</v>
      </c>
      <c r="P239" s="23">
        <f>IF(G239="غياب",VLOOKUP(C239,Employees!$A$3:$J$36,9,FALSE()),0)</f>
        <v>0</v>
      </c>
    </row>
    <row r="240" spans="1:16" ht="15" customHeight="1">
      <c r="A240" s="17" t="s">
        <v>103</v>
      </c>
      <c r="B240" s="19" t="s">
        <v>81</v>
      </c>
      <c r="C240" s="19" t="s">
        <v>20</v>
      </c>
      <c r="D240" s="19" t="str">
        <f>VLOOKUP(C240,Employees!A:J,2,0)</f>
        <v>احمد رمصان</v>
      </c>
      <c r="E240" s="30">
        <v>0.45833333333333331</v>
      </c>
      <c r="F240" s="20">
        <v>0.875</v>
      </c>
      <c r="G240" s="21" t="s">
        <v>69</v>
      </c>
      <c r="H240" s="20">
        <f>E240</f>
        <v>0.45833333333333331</v>
      </c>
      <c r="I240" s="20">
        <v>0.875</v>
      </c>
      <c r="J240" s="22">
        <f t="shared" ref="J240:J247" si="132">IF(OR(H240="",G240="غياب",G240="إجازة أسبوعية"),0,
IF(H240&gt;=E240-TIME(0,20,0),0,
IF(H240&gt;=E240-TIME(0,30,0),30,(E240-H240)*1440)))</f>
        <v>0</v>
      </c>
      <c r="K240" s="47">
        <f>(J240/60)*VLOOKUP(C240,Employees!A:J,10,0)*1.5</f>
        <v>0</v>
      </c>
      <c r="L240" s="22">
        <f t="shared" ref="L240:L247" si="133">IF(OR(H240="",G240="غياب",G240="إجازة أسبوعية"),0,
IF(H240&lt;=E240+TIME(0,30,0),0,
30+((H240-(E240+TIME(0,30,0)))*1440)))</f>
        <v>0</v>
      </c>
      <c r="M240" s="23">
        <f>(L240/60)*VLOOKUP(C240,Employees!A:J,10,0)*2</f>
        <v>0</v>
      </c>
      <c r="N240" s="24">
        <f t="shared" ref="N240:N247" si="134">IF(OR(I240="",G240="غياب",G240="إجازة أسبوعية",I240&lt;=F240),0,
IF(MOD(I240-F240,1)&lt;=TIME(0,25,0),0,MAX(0,(I240-F240)*1440)))</f>
        <v>0</v>
      </c>
      <c r="O240" s="25">
        <f>(N240/60)*VLOOKUP(C240,Employees!A:J,10,0)*1.5</f>
        <v>0</v>
      </c>
      <c r="P240" s="23">
        <f>IF(G240="غياب",VLOOKUP(C240,Employees!$A$3:$J$36,9,FALSE()),0)</f>
        <v>0</v>
      </c>
    </row>
    <row r="241" spans="1:16" ht="15" customHeight="1">
      <c r="A241" s="17" t="s">
        <v>104</v>
      </c>
      <c r="B241" s="19" t="s">
        <v>83</v>
      </c>
      <c r="C241" s="19" t="s">
        <v>20</v>
      </c>
      <c r="D241" s="19" t="str">
        <f>VLOOKUP(C241,Employees!A:J,2,0)</f>
        <v>احمد رمصان</v>
      </c>
      <c r="E241" s="30">
        <v>0.45833333333333331</v>
      </c>
      <c r="F241" s="20">
        <v>0.875</v>
      </c>
      <c r="G241" s="21" t="s">
        <v>69</v>
      </c>
      <c r="H241" s="20">
        <v>0.45833333333333331</v>
      </c>
      <c r="I241" s="20">
        <v>0.87430555555555556</v>
      </c>
      <c r="J241" s="22">
        <f t="shared" si="132"/>
        <v>0</v>
      </c>
      <c r="K241" s="47">
        <f>(J241/60)*VLOOKUP(C241,Employees!A:J,10,0)*1.5</f>
        <v>0</v>
      </c>
      <c r="L241" s="22">
        <f t="shared" si="133"/>
        <v>0</v>
      </c>
      <c r="M241" s="23">
        <f>(L241/60)*VLOOKUP(C241,Employees!A:J,10,0)*2</f>
        <v>0</v>
      </c>
      <c r="N241" s="24">
        <f t="shared" si="134"/>
        <v>0</v>
      </c>
      <c r="O241" s="25">
        <f>(N241/60)*VLOOKUP(C241,Employees!A:J,10,0)*1.5</f>
        <v>0</v>
      </c>
      <c r="P241" s="23">
        <f>IF(G241="غياب",VLOOKUP(C241,Employees!$A$3:$J$36,9,FALSE()),0)</f>
        <v>0</v>
      </c>
    </row>
    <row r="242" spans="1:16" ht="15" customHeight="1">
      <c r="A242" s="17" t="s">
        <v>105</v>
      </c>
      <c r="B242" s="19" t="s">
        <v>68</v>
      </c>
      <c r="C242" s="19" t="s">
        <v>20</v>
      </c>
      <c r="D242" s="19" t="str">
        <f>VLOOKUP(C242,Employees!A:J,2,0)</f>
        <v>احمد رمصان</v>
      </c>
      <c r="E242" s="30">
        <v>0.45833333333333331</v>
      </c>
      <c r="F242" s="20">
        <v>0.875</v>
      </c>
      <c r="G242" s="21" t="s">
        <v>69</v>
      </c>
      <c r="H242" s="20">
        <v>0.47222222222222221</v>
      </c>
      <c r="I242" s="20">
        <v>0.875</v>
      </c>
      <c r="J242" s="22">
        <f t="shared" si="132"/>
        <v>0</v>
      </c>
      <c r="K242" s="47">
        <f>(J242/60)*VLOOKUP(C242,Employees!A:J,10,0)*1.5</f>
        <v>0</v>
      </c>
      <c r="L242" s="22">
        <f t="shared" si="133"/>
        <v>0</v>
      </c>
      <c r="M242" s="23">
        <f>(L242/60)*VLOOKUP(C242,Employees!A:J,10,0)*2</f>
        <v>0</v>
      </c>
      <c r="N242" s="24">
        <f t="shared" si="134"/>
        <v>0</v>
      </c>
      <c r="O242" s="25">
        <f>(N242/60)*VLOOKUP(C242,Employees!A:J,10,0)*1.5</f>
        <v>0</v>
      </c>
      <c r="P242" s="23">
        <f>IF(G242="غياب",VLOOKUP(C242,Employees!$A$3:$J$36,9,FALSE()),0)</f>
        <v>0</v>
      </c>
    </row>
    <row r="243" spans="1:16" ht="15" customHeight="1">
      <c r="A243" s="17" t="s">
        <v>106</v>
      </c>
      <c r="B243" s="19" t="s">
        <v>71</v>
      </c>
      <c r="C243" s="19" t="s">
        <v>20</v>
      </c>
      <c r="D243" s="19" t="str">
        <f>VLOOKUP(C243,Employees!A:J,2,0)</f>
        <v>احمد رمصان</v>
      </c>
      <c r="E243" s="30">
        <v>0.45833333333333331</v>
      </c>
      <c r="F243" s="20">
        <v>0.875</v>
      </c>
      <c r="G243" s="21" t="s">
        <v>69</v>
      </c>
      <c r="H243" s="20">
        <v>0.46250000000000002</v>
      </c>
      <c r="I243" s="20">
        <v>0.875</v>
      </c>
      <c r="J243" s="22">
        <f t="shared" si="132"/>
        <v>0</v>
      </c>
      <c r="K243" s="47">
        <f>(J243/60)*VLOOKUP(C243,Employees!A:J,10,0)*1.5</f>
        <v>0</v>
      </c>
      <c r="L243" s="22">
        <f t="shared" si="133"/>
        <v>0</v>
      </c>
      <c r="M243" s="23">
        <f>(L243/60)*VLOOKUP(C243,Employees!A:J,10,0)*2</f>
        <v>0</v>
      </c>
      <c r="N243" s="24">
        <f t="shared" si="134"/>
        <v>0</v>
      </c>
      <c r="O243" s="25">
        <f>(N243/60)*VLOOKUP(C243,Employees!A:J,10,0)*1.5</f>
        <v>0</v>
      </c>
      <c r="P243" s="23">
        <f>IF(G243="غياب",VLOOKUP(C243,Employees!$A$3:$J$36,9,FALSE()),0)</f>
        <v>0</v>
      </c>
    </row>
    <row r="244" spans="1:16" ht="15" customHeight="1">
      <c r="A244" s="17" t="s">
        <v>67</v>
      </c>
      <c r="B244" s="19" t="s">
        <v>68</v>
      </c>
      <c r="C244" s="19" t="s">
        <v>21</v>
      </c>
      <c r="D244" s="19" t="str">
        <f>VLOOKUP(C244,Employees!A:J,2,0)</f>
        <v>هشام اشرف</v>
      </c>
      <c r="E244" s="20">
        <v>0.39791666666666664</v>
      </c>
      <c r="F244" s="20">
        <v>0.875</v>
      </c>
      <c r="G244" s="21" t="s">
        <v>69</v>
      </c>
      <c r="H244" s="20">
        <v>0.39861111111111114</v>
      </c>
      <c r="I244" s="20">
        <v>0.86319444444444449</v>
      </c>
      <c r="J244" s="22">
        <f t="shared" si="132"/>
        <v>0</v>
      </c>
      <c r="K244" s="47">
        <f>(J244/60)*VLOOKUP(C244,Employees!A:J,10,0)*1.5</f>
        <v>0</v>
      </c>
      <c r="L244" s="22">
        <f t="shared" si="133"/>
        <v>0</v>
      </c>
      <c r="M244" s="23">
        <f>(L244/60)*VLOOKUP(C244,Employees!A:J,10,0)*2</f>
        <v>0</v>
      </c>
      <c r="N244" s="24">
        <f t="shared" si="134"/>
        <v>0</v>
      </c>
      <c r="O244" s="25">
        <f>(N244/60)*VLOOKUP(C244,Employees!A:J,10,0)*1.5</f>
        <v>0</v>
      </c>
      <c r="P244" s="23">
        <f>IF(G244="غياب",VLOOKUP(C244,Employees!$A$3:$J$36,9,FALSE()),0)</f>
        <v>0</v>
      </c>
    </row>
    <row r="245" spans="1:16" ht="15" customHeight="1">
      <c r="A245" s="17" t="s">
        <v>70</v>
      </c>
      <c r="B245" s="19" t="s">
        <v>71</v>
      </c>
      <c r="C245" s="19" t="s">
        <v>21</v>
      </c>
      <c r="D245" s="19" t="str">
        <f>VLOOKUP(C245,Employees!A:J,2,0)</f>
        <v>هشام اشرف</v>
      </c>
      <c r="E245" s="20">
        <v>0.39166666666666666</v>
      </c>
      <c r="F245" s="20">
        <v>0.875</v>
      </c>
      <c r="G245" s="21" t="s">
        <v>69</v>
      </c>
      <c r="H245" s="20">
        <v>0.39861111111111114</v>
      </c>
      <c r="I245" s="20">
        <v>0.90277777777777779</v>
      </c>
      <c r="J245" s="22">
        <f t="shared" si="132"/>
        <v>0</v>
      </c>
      <c r="K245" s="47">
        <f>(J245/60)*VLOOKUP(C245,Employees!A:J,10,0)*1.5</f>
        <v>0</v>
      </c>
      <c r="L245" s="22">
        <f t="shared" si="133"/>
        <v>0</v>
      </c>
      <c r="M245" s="23">
        <f>(L245/60)*VLOOKUP(C245,Employees!A:J,10,0)*2</f>
        <v>0</v>
      </c>
      <c r="N245" s="24">
        <f t="shared" si="134"/>
        <v>40.000000000000014</v>
      </c>
      <c r="O245" s="25">
        <f>(N245/60)*VLOOKUP(C245,Employees!A:J,10,0)*1.5</f>
        <v>21.604938271604944</v>
      </c>
      <c r="P245" s="23">
        <f>IF(G245="غياب",VLOOKUP(C245,Employees!$A$3:$J$36,9,FALSE()),0)</f>
        <v>0</v>
      </c>
    </row>
    <row r="246" spans="1:16" ht="15" customHeight="1">
      <c r="A246" s="17" t="s">
        <v>72</v>
      </c>
      <c r="B246" s="19" t="s">
        <v>73</v>
      </c>
      <c r="C246" s="19" t="s">
        <v>21</v>
      </c>
      <c r="D246" s="19" t="str">
        <f>VLOOKUP(C246,Employees!A:J,2,0)</f>
        <v>هشام اشرف</v>
      </c>
      <c r="E246" s="20">
        <v>0.39583333333333331</v>
      </c>
      <c r="F246" s="20">
        <v>0.875</v>
      </c>
      <c r="G246" s="21" t="s">
        <v>69</v>
      </c>
      <c r="H246" s="20">
        <v>0.41458333333333336</v>
      </c>
      <c r="I246" s="20">
        <v>0.9291666666666667</v>
      </c>
      <c r="J246" s="22">
        <f t="shared" si="132"/>
        <v>0</v>
      </c>
      <c r="K246" s="47">
        <f>(J246/60)*VLOOKUP(C246,Employees!A:J,10,0)*1.5</f>
        <v>0</v>
      </c>
      <c r="L246" s="22">
        <f t="shared" si="133"/>
        <v>0</v>
      </c>
      <c r="M246" s="23">
        <f>(L246/60)*VLOOKUP(C246,Employees!A:J,10,0)*2</f>
        <v>0</v>
      </c>
      <c r="N246" s="24">
        <f t="shared" si="134"/>
        <v>78.000000000000043</v>
      </c>
      <c r="O246" s="25">
        <f>(N246/60)*VLOOKUP(C246,Employees!A:J,10,0)*1.5</f>
        <v>42.129629629629648</v>
      </c>
      <c r="P246" s="23">
        <f>IF(G246="غياب",VLOOKUP(C246,Employees!$A$3:$J$36,9,FALSE()),0)</f>
        <v>0</v>
      </c>
    </row>
    <row r="247" spans="1:16" ht="15" customHeight="1">
      <c r="A247" s="17" t="s">
        <v>74</v>
      </c>
      <c r="B247" s="19" t="s">
        <v>75</v>
      </c>
      <c r="C247" s="19" t="s">
        <v>21</v>
      </c>
      <c r="D247" s="19" t="str">
        <f>VLOOKUP(C247,Employees!A:J,2,0)</f>
        <v>هشام اشرف</v>
      </c>
      <c r="E247" s="20">
        <v>0.38958333333333334</v>
      </c>
      <c r="F247" s="20">
        <v>0.875</v>
      </c>
      <c r="G247" s="21" t="s">
        <v>69</v>
      </c>
      <c r="H247" s="20">
        <v>0.40277777777777779</v>
      </c>
      <c r="I247" s="20">
        <v>0.90208333333333335</v>
      </c>
      <c r="J247" s="22">
        <f t="shared" si="132"/>
        <v>0</v>
      </c>
      <c r="K247" s="47">
        <f>(J247/60)*VLOOKUP(C247,Employees!A:J,10,0)*1.5</f>
        <v>0</v>
      </c>
      <c r="L247" s="22">
        <f t="shared" si="133"/>
        <v>0</v>
      </c>
      <c r="M247" s="23">
        <f>(L247/60)*VLOOKUP(C247,Employees!A:J,10,0)*2</f>
        <v>0</v>
      </c>
      <c r="N247" s="24">
        <f t="shared" si="134"/>
        <v>39.000000000000021</v>
      </c>
      <c r="O247" s="25">
        <f>(N247/60)*VLOOKUP(C247,Employees!A:J,10,0)*1.5</f>
        <v>21.064814814814824</v>
      </c>
      <c r="P247" s="23">
        <f>IF(G247="غياب",VLOOKUP(C247,Employees!$A$3:$J$36,9,FALSE()),0)</f>
        <v>0</v>
      </c>
    </row>
    <row r="248" spans="1:16" ht="15" customHeight="1">
      <c r="A248" s="26" t="s">
        <v>76</v>
      </c>
      <c r="B248" s="28" t="s">
        <v>77</v>
      </c>
      <c r="C248" s="28" t="s">
        <v>21</v>
      </c>
      <c r="D248" s="28" t="str">
        <f>VLOOKUP(C248,Employees!A:J,2,0)</f>
        <v>هشام اشرف</v>
      </c>
      <c r="E248" s="29" t="s">
        <v>78</v>
      </c>
      <c r="F248" s="29" t="s">
        <v>78</v>
      </c>
      <c r="G248" s="27" t="s">
        <v>79</v>
      </c>
      <c r="H248" s="29" t="s">
        <v>78</v>
      </c>
      <c r="I248" s="29" t="s">
        <v>78</v>
      </c>
      <c r="J248" s="22" t="s">
        <v>78</v>
      </c>
      <c r="K248" s="47" t="s">
        <v>78</v>
      </c>
      <c r="L248" s="22" t="s">
        <v>78</v>
      </c>
      <c r="M248" s="23" t="s">
        <v>78</v>
      </c>
      <c r="N248" s="24" t="s">
        <v>78</v>
      </c>
      <c r="O248" s="24" t="s">
        <v>78</v>
      </c>
      <c r="P248" s="23">
        <f>IF(G248="غياب",VLOOKUP(C248,Employees!$A$3:$J$36,9,FALSE()),0)</f>
        <v>0</v>
      </c>
    </row>
    <row r="249" spans="1:16" ht="15" customHeight="1">
      <c r="A249" s="17" t="s">
        <v>80</v>
      </c>
      <c r="B249" s="19" t="s">
        <v>81</v>
      </c>
      <c r="C249" s="19" t="s">
        <v>21</v>
      </c>
      <c r="D249" s="19" t="str">
        <f>VLOOKUP(C249,Employees!A:J,2,0)</f>
        <v>هشام اشرف</v>
      </c>
      <c r="E249" s="20">
        <v>0.40347222222222223</v>
      </c>
      <c r="F249" s="20">
        <v>0.875</v>
      </c>
      <c r="G249" s="21" t="s">
        <v>69</v>
      </c>
      <c r="H249" s="20">
        <v>0.41944444444444445</v>
      </c>
      <c r="I249" s="20">
        <v>0.87916666666666665</v>
      </c>
      <c r="J249" s="22">
        <f t="shared" ref="J249:J254" si="135">IF(OR(H249="",G249="غياب",G249="إجازة أسبوعية"),0,
IF(H249&gt;=E249-TIME(0,20,0),0,
IF(H249&gt;=E249-TIME(0,30,0),30,(E249-H249)*1440)))</f>
        <v>0</v>
      </c>
      <c r="K249" s="47">
        <f>(J249/60)*VLOOKUP(C249,Employees!A:J,10,0)*1.5</f>
        <v>0</v>
      </c>
      <c r="L249" s="22">
        <f t="shared" ref="L249:L254" si="136">IF(OR(H249="",G249="غياب",G249="إجازة أسبوعية"),0,
IF(H249&lt;=E249+TIME(0,30,0),0,
30+((H249-(E249+TIME(0,30,0)))*1440)))</f>
        <v>0</v>
      </c>
      <c r="M249" s="23">
        <f>(L249/60)*VLOOKUP(C249,Employees!A:J,10,0)*2</f>
        <v>0</v>
      </c>
      <c r="N249" s="24">
        <f t="shared" ref="N249:N254" si="137">IF(OR(I249="",G249="غياب",G249="إجازة أسبوعية",I249&lt;=F249),0,
IF(MOD(I249-F249,1)&lt;=TIME(0,25,0),0,MAX(0,(I249-F249)*1440)))</f>
        <v>0</v>
      </c>
      <c r="O249" s="25">
        <f>(N249/60)*VLOOKUP(C249,Employees!A:J,10,0)*1.5</f>
        <v>0</v>
      </c>
      <c r="P249" s="23">
        <f>IF(G249="غياب",VLOOKUP(C249,Employees!$A$3:$J$36,9,FALSE()),0)</f>
        <v>0</v>
      </c>
    </row>
    <row r="250" spans="1:16" ht="15" customHeight="1">
      <c r="A250" s="17" t="s">
        <v>82</v>
      </c>
      <c r="B250" s="19" t="s">
        <v>83</v>
      </c>
      <c r="C250" s="19" t="s">
        <v>21</v>
      </c>
      <c r="D250" s="19" t="str">
        <f>VLOOKUP(C250,Employees!A:J,2,0)</f>
        <v>هشام اشرف</v>
      </c>
      <c r="E250" s="20">
        <v>0.39652777777777776</v>
      </c>
      <c r="F250" s="20">
        <v>0.875</v>
      </c>
      <c r="G250" s="21" t="s">
        <v>69</v>
      </c>
      <c r="H250" s="20">
        <v>0.41319444444444442</v>
      </c>
      <c r="I250" s="20">
        <v>0.86041666666666672</v>
      </c>
      <c r="J250" s="22">
        <f t="shared" si="135"/>
        <v>0</v>
      </c>
      <c r="K250" s="47">
        <f>(J250/60)*VLOOKUP(C250,Employees!A:J,10,0)*1.5</f>
        <v>0</v>
      </c>
      <c r="L250" s="22">
        <f t="shared" si="136"/>
        <v>0</v>
      </c>
      <c r="M250" s="23">
        <f>(L250/60)*VLOOKUP(C250,Employees!A:J,10,0)*2</f>
        <v>0</v>
      </c>
      <c r="N250" s="24">
        <f t="shared" si="137"/>
        <v>0</v>
      </c>
      <c r="O250" s="25">
        <f>(N250/60)*VLOOKUP(C250,Employees!A:J,10,0)*1.5</f>
        <v>0</v>
      </c>
      <c r="P250" s="23">
        <f>IF(G250="غياب",VLOOKUP(C250,Employees!$A$3:$J$36,9,FALSE()),0)</f>
        <v>0</v>
      </c>
    </row>
    <row r="251" spans="1:16" ht="15" customHeight="1">
      <c r="A251" s="17" t="s">
        <v>84</v>
      </c>
      <c r="B251" s="19" t="s">
        <v>68</v>
      </c>
      <c r="C251" s="19" t="s">
        <v>21</v>
      </c>
      <c r="D251" s="19" t="str">
        <f>VLOOKUP(C251,Employees!A:J,2,0)</f>
        <v>هشام اشرف</v>
      </c>
      <c r="E251" s="20">
        <v>0.3923611111111111</v>
      </c>
      <c r="F251" s="20">
        <v>0.875</v>
      </c>
      <c r="G251" s="21" t="s">
        <v>69</v>
      </c>
      <c r="H251" s="20">
        <v>0.40625</v>
      </c>
      <c r="I251" s="20">
        <v>0.87569444444444444</v>
      </c>
      <c r="J251" s="22">
        <f t="shared" si="135"/>
        <v>0</v>
      </c>
      <c r="K251" s="47">
        <f>(J251/60)*VLOOKUP(C251,Employees!A:J,10,0)*1.5</f>
        <v>0</v>
      </c>
      <c r="L251" s="22">
        <f t="shared" si="136"/>
        <v>0</v>
      </c>
      <c r="M251" s="23">
        <f>(L251/60)*VLOOKUP(C251,Employees!A:J,10,0)*2</f>
        <v>0</v>
      </c>
      <c r="N251" s="24">
        <f t="shared" si="137"/>
        <v>0</v>
      </c>
      <c r="O251" s="25">
        <f>(N251/60)*VLOOKUP(C251,Employees!A:J,10,0)*1.5</f>
        <v>0</v>
      </c>
      <c r="P251" s="23">
        <f>IF(G251="غياب",VLOOKUP(C251,Employees!$A$3:$J$36,9,FALSE()),0)</f>
        <v>0</v>
      </c>
    </row>
    <row r="252" spans="1:16" ht="15" customHeight="1">
      <c r="A252" s="17" t="s">
        <v>85</v>
      </c>
      <c r="B252" s="19" t="s">
        <v>71</v>
      </c>
      <c r="C252" s="19" t="s">
        <v>21</v>
      </c>
      <c r="D252" s="19" t="str">
        <f>VLOOKUP(C252,Employees!A:J,2,0)</f>
        <v>هشام اشرف</v>
      </c>
      <c r="E252" s="20">
        <v>0.38819444444444445</v>
      </c>
      <c r="F252" s="20">
        <v>0.875</v>
      </c>
      <c r="G252" s="21" t="s">
        <v>69</v>
      </c>
      <c r="H252" s="20">
        <v>0.43125000000000002</v>
      </c>
      <c r="I252" s="20">
        <v>0.875</v>
      </c>
      <c r="J252" s="22">
        <f t="shared" si="135"/>
        <v>0</v>
      </c>
      <c r="K252" s="47">
        <f>(J252/60)*VLOOKUP(C252,Employees!A:J,10,0)*1.5</f>
        <v>0</v>
      </c>
      <c r="L252" s="22">
        <f t="shared" si="136"/>
        <v>62.000000000000043</v>
      </c>
      <c r="M252" s="23">
        <f>(L252/60)*VLOOKUP(C252,Employees!A:J,10,0)*2</f>
        <v>44.650205761316904</v>
      </c>
      <c r="N252" s="24">
        <f t="shared" si="137"/>
        <v>0</v>
      </c>
      <c r="O252" s="25">
        <f>(N252/60)*VLOOKUP(C252,Employees!A:J,10,0)*1.5</f>
        <v>0</v>
      </c>
      <c r="P252" s="23">
        <f>IF(G252="غياب",VLOOKUP(C252,Employees!$A$3:$J$36,9,FALSE()),0)</f>
        <v>0</v>
      </c>
    </row>
    <row r="253" spans="1:16" ht="15" customHeight="1">
      <c r="A253" s="17" t="s">
        <v>86</v>
      </c>
      <c r="B253" s="19" t="s">
        <v>73</v>
      </c>
      <c r="C253" s="19" t="s">
        <v>21</v>
      </c>
      <c r="D253" s="19" t="str">
        <f>VLOOKUP(C253,Employees!A:J,2,0)</f>
        <v>هشام اشرف</v>
      </c>
      <c r="E253" s="20">
        <v>0.40625</v>
      </c>
      <c r="F253" s="20">
        <v>0.875</v>
      </c>
      <c r="G253" s="21" t="s">
        <v>69</v>
      </c>
      <c r="H253" s="20">
        <v>0.43194444444444446</v>
      </c>
      <c r="I253" s="20">
        <v>0.91111111111111109</v>
      </c>
      <c r="J253" s="22">
        <f t="shared" si="135"/>
        <v>0</v>
      </c>
      <c r="K253" s="47">
        <f>(J253/60)*VLOOKUP(C253,Employees!A:J,10,0)*1.5</f>
        <v>0</v>
      </c>
      <c r="L253" s="22">
        <f t="shared" si="136"/>
        <v>37.000000000000057</v>
      </c>
      <c r="M253" s="23">
        <f>(L253/60)*VLOOKUP(C253,Employees!A:J,10,0)*2</f>
        <v>26.646090534979461</v>
      </c>
      <c r="N253" s="24">
        <f t="shared" si="137"/>
        <v>51.999999999999972</v>
      </c>
      <c r="O253" s="25">
        <f>(N253/60)*VLOOKUP(C253,Employees!A:J,10,0)*1.5</f>
        <v>28.086419753086403</v>
      </c>
      <c r="P253" s="23">
        <f>IF(G253="غياب",VLOOKUP(C253,Employees!$A$3:$J$36,9,FALSE()),0)</f>
        <v>0</v>
      </c>
    </row>
    <row r="254" spans="1:16" ht="15" customHeight="1">
      <c r="A254" s="17" t="s">
        <v>87</v>
      </c>
      <c r="B254" s="19" t="s">
        <v>75</v>
      </c>
      <c r="C254" s="19" t="s">
        <v>21</v>
      </c>
      <c r="D254" s="19" t="str">
        <f>VLOOKUP(C254,Employees!A:J,2,0)</f>
        <v>هشام اشرف</v>
      </c>
      <c r="E254" s="20">
        <v>0.41666666666666702</v>
      </c>
      <c r="F254" s="20">
        <v>0.91666666666666696</v>
      </c>
      <c r="G254" s="21" t="s">
        <v>69</v>
      </c>
      <c r="H254" s="20">
        <v>0.42777777777777776</v>
      </c>
      <c r="I254" s="20">
        <v>0.91666666666666663</v>
      </c>
      <c r="J254" s="22">
        <f t="shared" si="135"/>
        <v>0</v>
      </c>
      <c r="K254" s="47">
        <f>(J254/60)*VLOOKUP(C254,Employees!A:J,10,0)*1.5</f>
        <v>0</v>
      </c>
      <c r="L254" s="22">
        <f t="shared" si="136"/>
        <v>0</v>
      </c>
      <c r="M254" s="23">
        <f>(L254/60)*VLOOKUP(C254,Employees!A:J,10,0)*2</f>
        <v>0</v>
      </c>
      <c r="N254" s="24">
        <f t="shared" si="137"/>
        <v>0</v>
      </c>
      <c r="O254" s="25">
        <f>(N254/60)*VLOOKUP(C254,Employees!A:J,10,0)*1.5</f>
        <v>0</v>
      </c>
      <c r="P254" s="23">
        <f>IF(G254="غياب",VLOOKUP(C254,Employees!$A$3:$J$36,9,FALSE()),0)</f>
        <v>0</v>
      </c>
    </row>
    <row r="255" spans="1:16" ht="15" customHeight="1">
      <c r="A255" s="26" t="s">
        <v>88</v>
      </c>
      <c r="B255" s="28" t="s">
        <v>77</v>
      </c>
      <c r="C255" s="28" t="s">
        <v>21</v>
      </c>
      <c r="D255" s="28" t="str">
        <f>VLOOKUP(C255,Employees!A:J,2,0)</f>
        <v>هشام اشرف</v>
      </c>
      <c r="E255" s="29" t="s">
        <v>78</v>
      </c>
      <c r="F255" s="29" t="s">
        <v>78</v>
      </c>
      <c r="G255" s="27" t="s">
        <v>79</v>
      </c>
      <c r="H255" s="29" t="s">
        <v>78</v>
      </c>
      <c r="I255" s="29" t="s">
        <v>78</v>
      </c>
      <c r="J255" s="22" t="s">
        <v>78</v>
      </c>
      <c r="K255" s="47" t="s">
        <v>78</v>
      </c>
      <c r="L255" s="22" t="s">
        <v>78</v>
      </c>
      <c r="M255" s="23" t="s">
        <v>78</v>
      </c>
      <c r="N255" s="24" t="s">
        <v>78</v>
      </c>
      <c r="O255" s="24" t="s">
        <v>78</v>
      </c>
      <c r="P255" s="23">
        <f>IF(G255="غياب",VLOOKUP(C255,Employees!$A$3:$J$36,9,FALSE()),0)</f>
        <v>0</v>
      </c>
    </row>
    <row r="256" spans="1:16" ht="15" customHeight="1">
      <c r="A256" s="26" t="s">
        <v>89</v>
      </c>
      <c r="B256" s="28" t="s">
        <v>81</v>
      </c>
      <c r="C256" s="28" t="s">
        <v>21</v>
      </c>
      <c r="D256" s="28" t="str">
        <f>VLOOKUP(C256,Employees!A:J,2,0)</f>
        <v>هشام اشرف</v>
      </c>
      <c r="E256" s="29" t="s">
        <v>78</v>
      </c>
      <c r="F256" s="29" t="s">
        <v>78</v>
      </c>
      <c r="G256" s="27" t="s">
        <v>79</v>
      </c>
      <c r="H256" s="29" t="s">
        <v>78</v>
      </c>
      <c r="I256" s="29" t="s">
        <v>78</v>
      </c>
      <c r="J256" s="22" t="s">
        <v>78</v>
      </c>
      <c r="K256" s="47" t="s">
        <v>78</v>
      </c>
      <c r="L256" s="22" t="s">
        <v>78</v>
      </c>
      <c r="M256" s="23" t="s">
        <v>78</v>
      </c>
      <c r="N256" s="24" t="s">
        <v>78</v>
      </c>
      <c r="O256" s="24" t="s">
        <v>78</v>
      </c>
      <c r="P256" s="23">
        <f>IF(G256="غياب",VLOOKUP(C256,Employees!$A$3:$J$36,9,FALSE()),0)</f>
        <v>0</v>
      </c>
    </row>
    <row r="257" spans="1:16" ht="15" customHeight="1">
      <c r="A257" s="17" t="s">
        <v>90</v>
      </c>
      <c r="B257" s="19" t="s">
        <v>83</v>
      </c>
      <c r="C257" s="19" t="s">
        <v>21</v>
      </c>
      <c r="D257" s="19" t="str">
        <f>VLOOKUP(C257,Employees!A:J,2,0)</f>
        <v>هشام اشرف</v>
      </c>
      <c r="E257" s="20">
        <v>0.41666666666666702</v>
      </c>
      <c r="F257" s="20">
        <v>0.91666666666666696</v>
      </c>
      <c r="G257" s="21" t="s">
        <v>69</v>
      </c>
      <c r="H257" s="20">
        <v>0.41319444444444442</v>
      </c>
      <c r="I257" s="20">
        <v>0.91666666666666663</v>
      </c>
      <c r="J257" s="22">
        <f t="shared" ref="J257:J261" si="138">IF(OR(H257="",G257="غياب",G257="إجازة أسبوعية"),0,
IF(H257&gt;=E257-TIME(0,20,0),0,
IF(H257&gt;=E257-TIME(0,30,0),30,(E257-H257)*1440)))</f>
        <v>0</v>
      </c>
      <c r="K257" s="47">
        <f>(J257/60)*VLOOKUP(C257,Employees!A:J,10,0)*1.5</f>
        <v>0</v>
      </c>
      <c r="L257" s="22">
        <f t="shared" ref="L257:L261" si="139">IF(OR(H257="",G257="غياب",G257="إجازة أسبوعية"),0,
IF(H257&lt;=E257+TIME(0,30,0),0,
30+((H257-(E257+TIME(0,30,0)))*1440)))</f>
        <v>0</v>
      </c>
      <c r="M257" s="23">
        <f>(L257/60)*VLOOKUP(C257,Employees!A:J,10,0)*2</f>
        <v>0</v>
      </c>
      <c r="N257" s="24">
        <f t="shared" ref="N257:N261" si="140">IF(OR(I257="",G257="غياب",G257="إجازة أسبوعية",I257&lt;=F257),0,
IF(MOD(I257-F257,1)&lt;=TIME(0,25,0),0,MAX(0,(I257-F257)*1440)))</f>
        <v>0</v>
      </c>
      <c r="O257" s="25">
        <f>(N257/60)*VLOOKUP(C257,Employees!A:J,10,0)*1.5</f>
        <v>0</v>
      </c>
      <c r="P257" s="23">
        <f>IF(G257="غياب",VLOOKUP(C257,Employees!$A$3:$J$36,9,FALSE()),0)</f>
        <v>0</v>
      </c>
    </row>
    <row r="258" spans="1:16" ht="15" customHeight="1">
      <c r="A258" s="17" t="s">
        <v>91</v>
      </c>
      <c r="B258" s="19" t="s">
        <v>68</v>
      </c>
      <c r="C258" s="19" t="s">
        <v>21</v>
      </c>
      <c r="D258" s="19" t="str">
        <f>VLOOKUP(C258,Employees!A:J,2,0)</f>
        <v>هشام اشرف</v>
      </c>
      <c r="E258" s="20">
        <v>0.41666666666666702</v>
      </c>
      <c r="F258" s="20">
        <v>0.91666666666666696</v>
      </c>
      <c r="G258" s="21" t="s">
        <v>69</v>
      </c>
      <c r="H258" s="20">
        <v>0.43194444444444446</v>
      </c>
      <c r="I258" s="20">
        <v>0.9291666666666667</v>
      </c>
      <c r="J258" s="22">
        <f t="shared" si="138"/>
        <v>0</v>
      </c>
      <c r="K258" s="47">
        <f>(J258/60)*VLOOKUP(C258,Employees!A:J,10,0)*1.5</f>
        <v>0</v>
      </c>
      <c r="L258" s="22">
        <f t="shared" si="139"/>
        <v>0</v>
      </c>
      <c r="M258" s="23">
        <f>(L258/60)*VLOOKUP(C258,Employees!A:J,10,0)*2</f>
        <v>0</v>
      </c>
      <c r="N258" s="24">
        <f t="shared" si="140"/>
        <v>0</v>
      </c>
      <c r="O258" s="25">
        <f>(N258/60)*VLOOKUP(C258,Employees!A:J,10,0)*1.5</f>
        <v>0</v>
      </c>
      <c r="P258" s="23">
        <f>IF(G258="غياب",VLOOKUP(C258,Employees!$A$3:$J$36,9,FALSE()),0)</f>
        <v>0</v>
      </c>
    </row>
    <row r="259" spans="1:16" ht="15" customHeight="1">
      <c r="A259" s="17" t="s">
        <v>92</v>
      </c>
      <c r="B259" s="19" t="s">
        <v>71</v>
      </c>
      <c r="C259" s="19" t="s">
        <v>21</v>
      </c>
      <c r="D259" s="19" t="str">
        <f>VLOOKUP(C259,Employees!A:J,2,0)</f>
        <v>هشام اشرف</v>
      </c>
      <c r="E259" s="20">
        <v>0.41666666666666702</v>
      </c>
      <c r="F259" s="20">
        <v>0.91666666666666696</v>
      </c>
      <c r="G259" s="21" t="s">
        <v>69</v>
      </c>
      <c r="H259" s="20">
        <v>0.42708333333333331</v>
      </c>
      <c r="I259" s="20">
        <v>0.90763888888888888</v>
      </c>
      <c r="J259" s="22">
        <f t="shared" si="138"/>
        <v>0</v>
      </c>
      <c r="K259" s="47">
        <f>(J259/60)*VLOOKUP(C259,Employees!A:J,10,0)*1.5</f>
        <v>0</v>
      </c>
      <c r="L259" s="22">
        <f t="shared" si="139"/>
        <v>0</v>
      </c>
      <c r="M259" s="23">
        <f>(L259/60)*VLOOKUP(C259,Employees!A:J,10,0)*2</f>
        <v>0</v>
      </c>
      <c r="N259" s="24">
        <f t="shared" si="140"/>
        <v>0</v>
      </c>
      <c r="O259" s="25">
        <f>(N259/60)*VLOOKUP(C259,Employees!A:J,10,0)*1.5</f>
        <v>0</v>
      </c>
      <c r="P259" s="23">
        <f>IF(G259="غياب",VLOOKUP(C259,Employees!$A$3:$J$36,9,FALSE()),0)</f>
        <v>0</v>
      </c>
    </row>
    <row r="260" spans="1:16" ht="15" customHeight="1">
      <c r="A260" s="17" t="s">
        <v>93</v>
      </c>
      <c r="B260" s="19" t="s">
        <v>73</v>
      </c>
      <c r="C260" s="19" t="s">
        <v>21</v>
      </c>
      <c r="D260" s="19" t="str">
        <f>VLOOKUP(C260,Employees!A:J,2,0)</f>
        <v>هشام اشرف</v>
      </c>
      <c r="E260" s="20">
        <v>0.42916666666666664</v>
      </c>
      <c r="F260" s="20">
        <v>0.91666666666666696</v>
      </c>
      <c r="G260" s="21" t="s">
        <v>69</v>
      </c>
      <c r="H260" s="20">
        <v>0.43263888888888891</v>
      </c>
      <c r="I260" s="20">
        <v>0.92152777777777772</v>
      </c>
      <c r="J260" s="22">
        <f t="shared" si="138"/>
        <v>0</v>
      </c>
      <c r="K260" s="47">
        <f>(J260/60)*VLOOKUP(C260,Employees!A:J,10,0)*1.5</f>
        <v>0</v>
      </c>
      <c r="L260" s="22">
        <f t="shared" si="139"/>
        <v>0</v>
      </c>
      <c r="M260" s="23">
        <f>(L260/60)*VLOOKUP(C260,Employees!A:J,10,0)*2</f>
        <v>0</v>
      </c>
      <c r="N260" s="24">
        <f t="shared" si="140"/>
        <v>0</v>
      </c>
      <c r="O260" s="25">
        <f>(N260/60)*VLOOKUP(C260,Employees!A:J,10,0)*1.5</f>
        <v>0</v>
      </c>
      <c r="P260" s="23">
        <f>IF(G260="غياب",VLOOKUP(C260,Employees!$A$3:$J$36,9,FALSE()),0)</f>
        <v>0</v>
      </c>
    </row>
    <row r="261" spans="1:16" ht="15" customHeight="1">
      <c r="A261" s="17" t="s">
        <v>94</v>
      </c>
      <c r="B261" s="19" t="s">
        <v>75</v>
      </c>
      <c r="C261" s="19" t="s">
        <v>21</v>
      </c>
      <c r="D261" s="19" t="str">
        <f>VLOOKUP(C261,Employees!A:J,2,0)</f>
        <v>هشام اشرف</v>
      </c>
      <c r="E261" s="20">
        <v>0.41805555555555557</v>
      </c>
      <c r="F261" s="20">
        <v>0.91666666666666696</v>
      </c>
      <c r="G261" s="21" t="s">
        <v>69</v>
      </c>
      <c r="H261" s="20">
        <v>0.43055555555555558</v>
      </c>
      <c r="I261" s="20">
        <v>0.91319444444444442</v>
      </c>
      <c r="J261" s="22">
        <f t="shared" si="138"/>
        <v>0</v>
      </c>
      <c r="K261" s="47">
        <f>(J261/60)*VLOOKUP(C261,Employees!A:J,10,0)*1.5</f>
        <v>0</v>
      </c>
      <c r="L261" s="22">
        <f t="shared" si="139"/>
        <v>0</v>
      </c>
      <c r="M261" s="23">
        <f>(L261/60)*VLOOKUP(C261,Employees!A:J,10,0)*2</f>
        <v>0</v>
      </c>
      <c r="N261" s="24">
        <f t="shared" si="140"/>
        <v>0</v>
      </c>
      <c r="O261" s="25">
        <f>(N261/60)*VLOOKUP(C261,Employees!A:J,10,0)*1.5</f>
        <v>0</v>
      </c>
      <c r="P261" s="23">
        <f>IF(G261="غياب",VLOOKUP(C261,Employees!$A$3:$J$36,9,FALSE()),0)</f>
        <v>0</v>
      </c>
    </row>
    <row r="262" spans="1:16" ht="15" customHeight="1">
      <c r="A262" s="26" t="s">
        <v>95</v>
      </c>
      <c r="B262" s="28" t="s">
        <v>77</v>
      </c>
      <c r="C262" s="28" t="s">
        <v>21</v>
      </c>
      <c r="D262" s="28" t="str">
        <f>VLOOKUP(C262,Employees!A:J,2,0)</f>
        <v>هشام اشرف</v>
      </c>
      <c r="E262" s="29" t="s">
        <v>78</v>
      </c>
      <c r="F262" s="29" t="s">
        <v>78</v>
      </c>
      <c r="G262" s="27" t="s">
        <v>79</v>
      </c>
      <c r="H262" s="29" t="s">
        <v>78</v>
      </c>
      <c r="I262" s="29" t="s">
        <v>78</v>
      </c>
      <c r="J262" s="22" t="s">
        <v>78</v>
      </c>
      <c r="K262" s="47" t="s">
        <v>78</v>
      </c>
      <c r="L262" s="22" t="s">
        <v>78</v>
      </c>
      <c r="M262" s="23" t="s">
        <v>78</v>
      </c>
      <c r="N262" s="24" t="s">
        <v>78</v>
      </c>
      <c r="O262" s="24" t="s">
        <v>78</v>
      </c>
      <c r="P262" s="23">
        <f>IF(G262="غياب",VLOOKUP(C262,Employees!$A$3:$J$36,9,FALSE()),0)</f>
        <v>0</v>
      </c>
    </row>
    <row r="263" spans="1:16" ht="15" customHeight="1">
      <c r="A263" s="17" t="s">
        <v>96</v>
      </c>
      <c r="B263" s="19" t="s">
        <v>81</v>
      </c>
      <c r="C263" s="19" t="s">
        <v>21</v>
      </c>
      <c r="D263" s="19" t="str">
        <f>VLOOKUP(C263,Employees!A:J,2,0)</f>
        <v>هشام اشرف</v>
      </c>
      <c r="E263" s="20">
        <v>0.42152777777777778</v>
      </c>
      <c r="F263" s="20">
        <v>0.91666666666666696</v>
      </c>
      <c r="G263" s="21" t="s">
        <v>69</v>
      </c>
      <c r="H263" s="20">
        <v>0.42222222222222222</v>
      </c>
      <c r="I263" s="20">
        <v>0.91111111111111109</v>
      </c>
      <c r="J263" s="22">
        <f t="shared" ref="J263:J268" si="141">IF(OR(H263="",G263="غياب",G263="إجازة أسبوعية"),0,
IF(H263&gt;=E263-TIME(0,20,0),0,
IF(H263&gt;=E263-TIME(0,30,0),30,(E263-H263)*1440)))</f>
        <v>0</v>
      </c>
      <c r="K263" s="47">
        <f>(J263/60)*VLOOKUP(C263,Employees!A:J,10,0)*1.5</f>
        <v>0</v>
      </c>
      <c r="L263" s="22">
        <f t="shared" ref="L263:L268" si="142">IF(OR(H263="",G263="غياب",G263="إجازة أسبوعية"),0,
IF(H263&lt;=E263+TIME(0,30,0),0,
30+((H263-(E263+TIME(0,30,0)))*1440)))</f>
        <v>0</v>
      </c>
      <c r="M263" s="23">
        <f>(L263/60)*VLOOKUP(C263,Employees!A:J,10,0)*2</f>
        <v>0</v>
      </c>
      <c r="N263" s="24">
        <f t="shared" ref="N263:N268" si="143">IF(OR(I263="",G263="غياب",G263="إجازة أسبوعية",I263&lt;=F263),0,
IF(MOD(I263-F263,1)&lt;=TIME(0,25,0),0,MAX(0,(I263-F263)*1440)))</f>
        <v>0</v>
      </c>
      <c r="O263" s="25">
        <f>(N263/60)*VLOOKUP(C263,Employees!A:J,10,0)*1.5</f>
        <v>0</v>
      </c>
      <c r="P263" s="23">
        <f>IF(G263="غياب",VLOOKUP(C263,Employees!$A$3:$J$36,9,FALSE()),0)</f>
        <v>0</v>
      </c>
    </row>
    <row r="264" spans="1:16" ht="15" customHeight="1">
      <c r="A264" s="17" t="s">
        <v>97</v>
      </c>
      <c r="B264" s="19" t="s">
        <v>83</v>
      </c>
      <c r="C264" s="19" t="s">
        <v>21</v>
      </c>
      <c r="D264" s="19" t="str">
        <f>VLOOKUP(C264,Employees!A:J,2,0)</f>
        <v>هشام اشرف</v>
      </c>
      <c r="E264" s="20">
        <v>0.43055555555555558</v>
      </c>
      <c r="F264" s="20">
        <v>0.91666666666666696</v>
      </c>
      <c r="G264" s="21" t="s">
        <v>69</v>
      </c>
      <c r="H264" s="20">
        <v>0.43263888888888891</v>
      </c>
      <c r="I264" s="20">
        <v>0.91874999999999996</v>
      </c>
      <c r="J264" s="22">
        <f t="shared" si="141"/>
        <v>0</v>
      </c>
      <c r="K264" s="47">
        <f>(J264/60)*VLOOKUP(C264,Employees!A:J,10,0)*1.5</f>
        <v>0</v>
      </c>
      <c r="L264" s="22">
        <f t="shared" si="142"/>
        <v>0</v>
      </c>
      <c r="M264" s="23">
        <f>(L264/60)*VLOOKUP(C264,Employees!A:J,10,0)*2</f>
        <v>0</v>
      </c>
      <c r="N264" s="24">
        <f t="shared" si="143"/>
        <v>0</v>
      </c>
      <c r="O264" s="25">
        <f>(N264/60)*VLOOKUP(C264,Employees!A:J,10,0)*1.5</f>
        <v>0</v>
      </c>
      <c r="P264" s="23">
        <f>IF(G264="غياب",VLOOKUP(C264,Employees!$A$3:$J$36,9,FALSE()),0)</f>
        <v>0</v>
      </c>
    </row>
    <row r="265" spans="1:16" ht="15" customHeight="1">
      <c r="A265" s="17" t="s">
        <v>98</v>
      </c>
      <c r="B265" s="19" t="s">
        <v>68</v>
      </c>
      <c r="C265" s="19" t="s">
        <v>21</v>
      </c>
      <c r="D265" s="19" t="str">
        <f>VLOOKUP(C265,Employees!A:J,2,0)</f>
        <v>هشام اشرف</v>
      </c>
      <c r="E265" s="20">
        <v>0.4236111111111111</v>
      </c>
      <c r="F265" s="20">
        <v>0.91666666666666696</v>
      </c>
      <c r="G265" s="21" t="s">
        <v>69</v>
      </c>
      <c r="H265" s="20">
        <v>0.42986111111111114</v>
      </c>
      <c r="I265" s="20">
        <v>0.92777777777777781</v>
      </c>
      <c r="J265" s="22">
        <f t="shared" si="141"/>
        <v>0</v>
      </c>
      <c r="K265" s="47">
        <f>(J265/60)*VLOOKUP(C265,Employees!A:J,10,0)*1.5</f>
        <v>0</v>
      </c>
      <c r="L265" s="22">
        <f t="shared" si="142"/>
        <v>0</v>
      </c>
      <c r="M265" s="23">
        <f>(L265/60)*VLOOKUP(C265,Employees!A:J,10,0)*2</f>
        <v>0</v>
      </c>
      <c r="N265" s="24">
        <f t="shared" si="143"/>
        <v>0</v>
      </c>
      <c r="O265" s="25">
        <f>(N265/60)*VLOOKUP(C265,Employees!A:J,10,0)*1.5</f>
        <v>0</v>
      </c>
      <c r="P265" s="23">
        <f>IF(G265="غياب",VLOOKUP(C265,Employees!$A$3:$J$36,9,FALSE()),0)</f>
        <v>0</v>
      </c>
    </row>
    <row r="266" spans="1:16" ht="15" customHeight="1">
      <c r="A266" s="17" t="s">
        <v>99</v>
      </c>
      <c r="B266" s="19" t="s">
        <v>71</v>
      </c>
      <c r="C266" s="19" t="s">
        <v>21</v>
      </c>
      <c r="D266" s="19" t="str">
        <f>VLOOKUP(C266,Employees!A:J,2,0)</f>
        <v>هشام اشرف</v>
      </c>
      <c r="E266" s="20">
        <v>0.42430555555555555</v>
      </c>
      <c r="F266" s="20">
        <v>0.91666666666666696</v>
      </c>
      <c r="G266" s="21" t="s">
        <v>69</v>
      </c>
      <c r="H266" s="20">
        <v>0.42569444444444443</v>
      </c>
      <c r="I266" s="20">
        <v>0.91527777777777775</v>
      </c>
      <c r="J266" s="22">
        <f t="shared" si="141"/>
        <v>0</v>
      </c>
      <c r="K266" s="47">
        <f>(J266/60)*VLOOKUP(C266,Employees!A:J,10,0)*1.5</f>
        <v>0</v>
      </c>
      <c r="L266" s="22">
        <f t="shared" si="142"/>
        <v>0</v>
      </c>
      <c r="M266" s="23">
        <f>(L266/60)*VLOOKUP(C266,Employees!A:J,10,0)*2</f>
        <v>0</v>
      </c>
      <c r="N266" s="24">
        <f t="shared" si="143"/>
        <v>0</v>
      </c>
      <c r="O266" s="25">
        <f>(N266/60)*VLOOKUP(C266,Employees!A:J,10,0)*1.5</f>
        <v>0</v>
      </c>
      <c r="P266" s="23">
        <f>IF(G266="غياب",VLOOKUP(C266,Employees!$A$3:$J$36,9,FALSE()),0)</f>
        <v>0</v>
      </c>
    </row>
    <row r="267" spans="1:16" ht="15" customHeight="1">
      <c r="A267" s="17" t="s">
        <v>100</v>
      </c>
      <c r="B267" s="19" t="s">
        <v>73</v>
      </c>
      <c r="C267" s="19" t="s">
        <v>21</v>
      </c>
      <c r="D267" s="19" t="str">
        <f>VLOOKUP(C267,Employees!A:J,2,0)</f>
        <v>هشام اشرف</v>
      </c>
      <c r="E267" s="20">
        <v>0.40069444444444446</v>
      </c>
      <c r="F267" s="20">
        <v>0.875</v>
      </c>
      <c r="G267" s="21" t="s">
        <v>69</v>
      </c>
      <c r="H267" s="20">
        <v>0.41249999999999998</v>
      </c>
      <c r="I267" s="20">
        <v>0.90902777777777777</v>
      </c>
      <c r="J267" s="22">
        <f t="shared" si="141"/>
        <v>0</v>
      </c>
      <c r="K267" s="47">
        <f>(J267/60)*VLOOKUP(C267,Employees!A:J,10,0)*1.5</f>
        <v>0</v>
      </c>
      <c r="L267" s="22">
        <f t="shared" si="142"/>
        <v>0</v>
      </c>
      <c r="M267" s="23">
        <f>(L267/60)*VLOOKUP(C267,Employees!A:J,10,0)*2</f>
        <v>0</v>
      </c>
      <c r="N267" s="24">
        <f t="shared" si="143"/>
        <v>48.999999999999986</v>
      </c>
      <c r="O267" s="25">
        <f>(N267/60)*VLOOKUP(C267,Employees!A:J,10,0)*1.5</f>
        <v>26.466049382716044</v>
      </c>
      <c r="P267" s="23">
        <f>IF(G267="غياب",VLOOKUP(C267,Employees!$A$3:$J$36,9,FALSE()),0)</f>
        <v>0</v>
      </c>
    </row>
    <row r="268" spans="1:16" ht="15" customHeight="1">
      <c r="A268" s="17" t="s">
        <v>101</v>
      </c>
      <c r="B268" s="19" t="s">
        <v>75</v>
      </c>
      <c r="C268" s="19" t="s">
        <v>21</v>
      </c>
      <c r="D268" s="19" t="str">
        <f>VLOOKUP(C268,Employees!A:J,2,0)</f>
        <v>هشام اشرف</v>
      </c>
      <c r="E268" s="20">
        <v>0.375</v>
      </c>
      <c r="F268" s="20">
        <v>0.875</v>
      </c>
      <c r="G268" s="21" t="s">
        <v>69</v>
      </c>
      <c r="H268" s="20">
        <v>0.39583333333333331</v>
      </c>
      <c r="I268" s="20">
        <v>0.89722222222222225</v>
      </c>
      <c r="J268" s="22">
        <f t="shared" si="141"/>
        <v>0</v>
      </c>
      <c r="K268" s="47">
        <f>(J268/60)*VLOOKUP(C268,Employees!A:J,10,0)*1.5</f>
        <v>0</v>
      </c>
      <c r="L268" s="22">
        <f t="shared" si="142"/>
        <v>0</v>
      </c>
      <c r="M268" s="23">
        <f>(L268/60)*VLOOKUP(C268,Employees!A:J,10,0)*2</f>
        <v>0</v>
      </c>
      <c r="N268" s="24">
        <f t="shared" si="143"/>
        <v>32.000000000000043</v>
      </c>
      <c r="O268" s="25">
        <f>(N268/60)*VLOOKUP(C268,Employees!A:J,10,0)*1.5</f>
        <v>17.283950617283971</v>
      </c>
      <c r="P268" s="23">
        <f>IF(G268="غياب",VLOOKUP(C268,Employees!$A$3:$J$36,9,FALSE()),0)</f>
        <v>0</v>
      </c>
    </row>
    <row r="269" spans="1:16" ht="15" customHeight="1">
      <c r="A269" s="26" t="s">
        <v>102</v>
      </c>
      <c r="B269" s="28" t="s">
        <v>77</v>
      </c>
      <c r="C269" s="28" t="s">
        <v>21</v>
      </c>
      <c r="D269" s="28" t="str">
        <f>VLOOKUP(C269,Employees!A:J,2,0)</f>
        <v>هشام اشرف</v>
      </c>
      <c r="E269" s="29" t="s">
        <v>78</v>
      </c>
      <c r="F269" s="29" t="s">
        <v>78</v>
      </c>
      <c r="G269" s="27" t="s">
        <v>79</v>
      </c>
      <c r="H269" s="29" t="s">
        <v>78</v>
      </c>
      <c r="I269" s="29" t="s">
        <v>78</v>
      </c>
      <c r="J269" s="22" t="s">
        <v>78</v>
      </c>
      <c r="K269" s="47" t="s">
        <v>78</v>
      </c>
      <c r="L269" s="22" t="s">
        <v>78</v>
      </c>
      <c r="M269" s="23" t="s">
        <v>78</v>
      </c>
      <c r="N269" s="24" t="s">
        <v>78</v>
      </c>
      <c r="O269" s="24" t="s">
        <v>78</v>
      </c>
      <c r="P269" s="23">
        <f>IF(G269="غياب",VLOOKUP(C269,Employees!$A$3:$J$36,9,FALSE()),0)</f>
        <v>0</v>
      </c>
    </row>
    <row r="270" spans="1:16" ht="15" customHeight="1">
      <c r="A270" s="17" t="s">
        <v>103</v>
      </c>
      <c r="B270" s="19" t="s">
        <v>81</v>
      </c>
      <c r="C270" s="19" t="s">
        <v>21</v>
      </c>
      <c r="D270" s="19" t="str">
        <f>VLOOKUP(C270,Employees!A:J,2,0)</f>
        <v>هشام اشرف</v>
      </c>
      <c r="E270" s="20">
        <v>0.40694444444444444</v>
      </c>
      <c r="F270" s="20">
        <v>0.875</v>
      </c>
      <c r="G270" s="21" t="s">
        <v>69</v>
      </c>
      <c r="H270" s="20">
        <v>0.40694444444444444</v>
      </c>
      <c r="I270" s="20">
        <v>0.8833333333333333</v>
      </c>
      <c r="J270" s="22">
        <f t="shared" ref="J270:J275" si="144">IF(OR(H270="",G270="غياب",G270="إجازة أسبوعية"),0,
IF(H270&gt;=E270-TIME(0,20,0),0,
IF(H270&gt;=E270-TIME(0,30,0),30,(E270-H270)*1440)))</f>
        <v>0</v>
      </c>
      <c r="K270" s="47">
        <f>(J270/60)*VLOOKUP(C270,Employees!A:J,10,0)*1.5</f>
        <v>0</v>
      </c>
      <c r="L270" s="22">
        <f t="shared" ref="L270:L275" si="145">IF(OR(H270="",G270="غياب",G270="إجازة أسبوعية"),0,
IF(H270&lt;=E270+TIME(0,30,0),0,
30+((H270-(E270+TIME(0,30,0)))*1440)))</f>
        <v>0</v>
      </c>
      <c r="M270" s="23">
        <f>(L270/60)*VLOOKUP(C270,Employees!A:J,10,0)*2</f>
        <v>0</v>
      </c>
      <c r="N270" s="24">
        <f t="shared" ref="N270:N275" si="146">IF(OR(I270="",G270="غياب",G270="إجازة أسبوعية",I270&lt;=F270),0,
IF(MOD(I270-F270,1)&lt;=TIME(0,25,0),0,MAX(0,(I270-F270)*1440)))</f>
        <v>0</v>
      </c>
      <c r="O270" s="25">
        <f>(N270/60)*VLOOKUP(C270,Employees!A:J,10,0)*1.5</f>
        <v>0</v>
      </c>
      <c r="P270" s="23">
        <f>IF(G270="غياب",VLOOKUP(C270,Employees!$A$3:$J$36,9,FALSE()),0)</f>
        <v>0</v>
      </c>
    </row>
    <row r="271" spans="1:16" ht="15" customHeight="1">
      <c r="A271" s="17" t="s">
        <v>104</v>
      </c>
      <c r="B271" s="19" t="s">
        <v>83</v>
      </c>
      <c r="C271" s="19" t="s">
        <v>21</v>
      </c>
      <c r="D271" s="19" t="str">
        <f>VLOOKUP(C271,Employees!A:J,2,0)</f>
        <v>هشام اشرف</v>
      </c>
      <c r="E271" s="20">
        <v>0.38541666666666669</v>
      </c>
      <c r="F271" s="20">
        <v>0.875</v>
      </c>
      <c r="G271" s="21" t="s">
        <v>69</v>
      </c>
      <c r="H271" s="20">
        <v>0.38958333333333334</v>
      </c>
      <c r="I271" s="20">
        <v>0.87222222222222223</v>
      </c>
      <c r="J271" s="22">
        <f t="shared" si="144"/>
        <v>0</v>
      </c>
      <c r="K271" s="47">
        <f>(J271/60)*VLOOKUP(C271,Employees!A:J,10,0)*1.5</f>
        <v>0</v>
      </c>
      <c r="L271" s="22">
        <f t="shared" si="145"/>
        <v>0</v>
      </c>
      <c r="M271" s="23">
        <f>(L271/60)*VLOOKUP(C271,Employees!A:J,10,0)*2</f>
        <v>0</v>
      </c>
      <c r="N271" s="24">
        <f t="shared" si="146"/>
        <v>0</v>
      </c>
      <c r="O271" s="25">
        <f>(N271/60)*VLOOKUP(C271,Employees!A:J,10,0)*1.5</f>
        <v>0</v>
      </c>
      <c r="P271" s="23">
        <f>IF(G271="غياب",VLOOKUP(C271,Employees!$A$3:$J$36,9,FALSE()),0)</f>
        <v>0</v>
      </c>
    </row>
    <row r="272" spans="1:16" ht="15" customHeight="1">
      <c r="A272" s="17" t="s">
        <v>105</v>
      </c>
      <c r="B272" s="19" t="s">
        <v>68</v>
      </c>
      <c r="C272" s="19" t="s">
        <v>21</v>
      </c>
      <c r="D272" s="19" t="str">
        <f>VLOOKUP(C272,Employees!A:J,2,0)</f>
        <v>هشام اشرف</v>
      </c>
      <c r="E272" s="20">
        <v>0.3840277777777778</v>
      </c>
      <c r="F272" s="20">
        <v>0.875</v>
      </c>
      <c r="G272" s="21" t="s">
        <v>69</v>
      </c>
      <c r="H272" s="20">
        <v>0.4</v>
      </c>
      <c r="I272" s="20">
        <v>0.8833333333333333</v>
      </c>
      <c r="J272" s="22">
        <f t="shared" si="144"/>
        <v>0</v>
      </c>
      <c r="K272" s="47">
        <f>(J272/60)*VLOOKUP(C272,Employees!A:J,10,0)*1.5</f>
        <v>0</v>
      </c>
      <c r="L272" s="22">
        <f t="shared" si="145"/>
        <v>0</v>
      </c>
      <c r="M272" s="23">
        <f>(L272/60)*VLOOKUP(C272,Employees!A:J,10,0)*2</f>
        <v>0</v>
      </c>
      <c r="N272" s="24">
        <f t="shared" si="146"/>
        <v>0</v>
      </c>
      <c r="O272" s="25">
        <f>(N272/60)*VLOOKUP(C272,Employees!A:J,10,0)*1.5</f>
        <v>0</v>
      </c>
      <c r="P272" s="23">
        <f>IF(G272="غياب",VLOOKUP(C272,Employees!$A$3:$J$36,9,FALSE()),0)</f>
        <v>0</v>
      </c>
    </row>
    <row r="273" spans="1:16" ht="15" customHeight="1">
      <c r="A273" s="17" t="s">
        <v>106</v>
      </c>
      <c r="B273" s="19" t="s">
        <v>71</v>
      </c>
      <c r="C273" s="19" t="s">
        <v>21</v>
      </c>
      <c r="D273" s="19" t="str">
        <f>VLOOKUP(C273,Employees!A:J,2,0)</f>
        <v>هشام اشرف</v>
      </c>
      <c r="E273" s="20">
        <v>0.37986111111111109</v>
      </c>
      <c r="F273" s="20">
        <v>0.875</v>
      </c>
      <c r="G273" s="21" t="s">
        <v>69</v>
      </c>
      <c r="H273" s="20">
        <v>0.40138888888888891</v>
      </c>
      <c r="I273" s="20">
        <v>0.88055555555555554</v>
      </c>
      <c r="J273" s="22">
        <f t="shared" si="144"/>
        <v>0</v>
      </c>
      <c r="K273" s="47">
        <f>(J273/60)*VLOOKUP(C273,Employees!A:J,10,0)*1.5</f>
        <v>0</v>
      </c>
      <c r="L273" s="22">
        <f t="shared" si="145"/>
        <v>31.000000000000078</v>
      </c>
      <c r="M273" s="23">
        <f>(L273/60)*VLOOKUP(C273,Employees!A:J,10,0)*2</f>
        <v>22.325102880658488</v>
      </c>
      <c r="N273" s="24">
        <f t="shared" si="146"/>
        <v>0</v>
      </c>
      <c r="O273" s="25">
        <f>(N273/60)*VLOOKUP(C273,Employees!A:J,10,0)*1.5</f>
        <v>0</v>
      </c>
      <c r="P273" s="23">
        <f>IF(G273="غياب",VLOOKUP(C273,Employees!$A$3:$J$36,9,FALSE()),0)</f>
        <v>0</v>
      </c>
    </row>
    <row r="274" spans="1:16" ht="15" customHeight="1">
      <c r="A274" s="17" t="s">
        <v>67</v>
      </c>
      <c r="B274" s="19" t="s">
        <v>68</v>
      </c>
      <c r="C274" s="19" t="s">
        <v>22</v>
      </c>
      <c r="D274" s="19" t="str">
        <f>VLOOKUP(C274,Employees!A:J,2,0)</f>
        <v>محمود اسماعيل</v>
      </c>
      <c r="E274" s="20">
        <v>0.625</v>
      </c>
      <c r="F274" s="20">
        <v>0.875</v>
      </c>
      <c r="G274" s="21" t="s">
        <v>69</v>
      </c>
      <c r="H274" s="20">
        <v>0.61736111111111114</v>
      </c>
      <c r="I274" s="20">
        <v>0.86319444444444449</v>
      </c>
      <c r="J274" s="22">
        <f t="shared" si="144"/>
        <v>0</v>
      </c>
      <c r="K274" s="47">
        <f>(J274/60)*VLOOKUP(C274,Employees!A:J,10,0)*1.5</f>
        <v>0</v>
      </c>
      <c r="L274" s="22">
        <f t="shared" si="145"/>
        <v>0</v>
      </c>
      <c r="M274" s="23">
        <f>(L274/60)*VLOOKUP(C274,Employees!A:J,10,0)*2</f>
        <v>0</v>
      </c>
      <c r="N274" s="24">
        <f t="shared" si="146"/>
        <v>0</v>
      </c>
      <c r="O274" s="25">
        <f>(N274/60)*VLOOKUP(C274,Employees!A:J,10,0)*1.5</f>
        <v>0</v>
      </c>
      <c r="P274" s="23">
        <f>IF(G274="غياب",VLOOKUP(C274,Employees!$A$3:$J$36,9,FALSE()),0)</f>
        <v>0</v>
      </c>
    </row>
    <row r="275" spans="1:16" ht="15" customHeight="1">
      <c r="A275" s="17" t="s">
        <v>70</v>
      </c>
      <c r="B275" s="19" t="s">
        <v>71</v>
      </c>
      <c r="C275" s="19" t="s">
        <v>22</v>
      </c>
      <c r="D275" s="19" t="str">
        <f>VLOOKUP(C275,Employees!A:J,2,0)</f>
        <v>محمود اسماعيل</v>
      </c>
      <c r="E275" s="20">
        <v>0.625</v>
      </c>
      <c r="F275" s="20">
        <v>0.875</v>
      </c>
      <c r="G275" s="21" t="s">
        <v>69</v>
      </c>
      <c r="H275" s="20">
        <v>0.63611111111111107</v>
      </c>
      <c r="I275" s="20">
        <v>0.875</v>
      </c>
      <c r="J275" s="22">
        <f t="shared" si="144"/>
        <v>0</v>
      </c>
      <c r="K275" s="47">
        <f>(J275/60)*VLOOKUP(C275,Employees!A:J,10,0)*1.5</f>
        <v>0</v>
      </c>
      <c r="L275" s="22">
        <f t="shared" si="145"/>
        <v>0</v>
      </c>
      <c r="M275" s="23">
        <f>(L275/60)*VLOOKUP(C275,Employees!A:J,10,0)*2</f>
        <v>0</v>
      </c>
      <c r="N275" s="24">
        <f t="shared" si="146"/>
        <v>0</v>
      </c>
      <c r="O275" s="25">
        <f>(N275/60)*VLOOKUP(C275,Employees!A:J,10,0)*1.5</f>
        <v>0</v>
      </c>
      <c r="P275" s="23">
        <f>IF(G275="غياب",VLOOKUP(C275,Employees!$A$3:$J$36,9,FALSE()),0)</f>
        <v>0</v>
      </c>
    </row>
    <row r="276" spans="1:16" ht="15" customHeight="1">
      <c r="A276" s="48" t="s">
        <v>72</v>
      </c>
      <c r="B276" s="49" t="s">
        <v>73</v>
      </c>
      <c r="C276" s="49" t="s">
        <v>22</v>
      </c>
      <c r="D276" s="49" t="str">
        <f>VLOOKUP(C276,Employees!A:J,2,0)</f>
        <v>محمود اسماعيل</v>
      </c>
      <c r="E276" s="50">
        <v>0.625</v>
      </c>
      <c r="F276" s="50">
        <v>0.875</v>
      </c>
      <c r="G276" s="51" t="s">
        <v>130</v>
      </c>
      <c r="H276" s="52" t="s">
        <v>78</v>
      </c>
      <c r="I276" s="52" t="s">
        <v>78</v>
      </c>
      <c r="J276" s="22">
        <f t="shared" ref="J276" si="147">IF(OR(G276="غياب",G276="إجازة أسبوعية"),0,
IF(H276&gt;=E276-TIME(0,20,0),0,
IF(H276&gt;=E276-TIME(0,30,0),30,(E276-H276)*1440)))</f>
        <v>0</v>
      </c>
      <c r="K276" s="47">
        <f>(J276/60)*VLOOKUP(C276,Employees!A:J,10,0)*1.5</f>
        <v>0</v>
      </c>
      <c r="L276" s="22" t="s">
        <v>78</v>
      </c>
      <c r="M276" s="23" t="s">
        <v>78</v>
      </c>
      <c r="N276" s="24" t="s">
        <v>78</v>
      </c>
      <c r="O276" s="25" t="s">
        <v>78</v>
      </c>
      <c r="P276" s="23">
        <f>IF(G276="غياب",VLOOKUP(C276,Employees!$A$3:$J$36,9,FALSE()),0)</f>
        <v>259.25925925925924</v>
      </c>
    </row>
    <row r="277" spans="1:16" ht="15" customHeight="1">
      <c r="A277" s="17" t="s">
        <v>74</v>
      </c>
      <c r="B277" s="19" t="s">
        <v>75</v>
      </c>
      <c r="C277" s="19" t="s">
        <v>22</v>
      </c>
      <c r="D277" s="19" t="str">
        <f>VLOOKUP(C277,Employees!A:J,2,0)</f>
        <v>محمود اسماعيل</v>
      </c>
      <c r="E277" s="20">
        <v>0.625</v>
      </c>
      <c r="F277" s="20">
        <v>0.875</v>
      </c>
      <c r="G277" s="21" t="s">
        <v>69</v>
      </c>
      <c r="H277" s="20">
        <v>0.61805555555555558</v>
      </c>
      <c r="I277" s="20">
        <v>0.90208333333333335</v>
      </c>
      <c r="J277" s="22">
        <f>IF(OR(H277="",G277="غياب",G277="إجازة أسبوعية"),0,
IF(H277&gt;=E277-TIME(0,20,0),0,
IF(H277&gt;=E277-TIME(0,30,0),30,(E277-H277)*1440)))</f>
        <v>0</v>
      </c>
      <c r="K277" s="47">
        <f>(J277/60)*VLOOKUP(C277,Employees!A:J,10,0)*1.5</f>
        <v>0</v>
      </c>
      <c r="L277" s="22">
        <f>IF(OR(H277="",G277="غياب",G277="إجازة أسبوعية"),0,
IF(H277&lt;=E277+TIME(0,30,0),0,
30+((H277-(E277+TIME(0,30,0)))*1440)))</f>
        <v>0</v>
      </c>
      <c r="M277" s="23">
        <f>(L277/60)*VLOOKUP(C277,Employees!A:J,10,0)*2</f>
        <v>0</v>
      </c>
      <c r="N277" s="24">
        <f>IF(OR(I277="",G277="غياب",G277="إجازة أسبوعية",I277&lt;=F277),0,
IF(MOD(I277-F277,1)&lt;=TIME(0,25,0),0,MAX(0,(I277-F277)*1440)))</f>
        <v>39.000000000000021</v>
      </c>
      <c r="O277" s="25">
        <f>(N277/60)*VLOOKUP(C277,Employees!A:J,10,0)*1.5</f>
        <v>36.111111111111128</v>
      </c>
      <c r="P277" s="23">
        <f>IF(G277="غياب",VLOOKUP(C277,Employees!$A$3:$J$36,9,FALSE()),0)</f>
        <v>0</v>
      </c>
    </row>
    <row r="278" spans="1:16" ht="15" customHeight="1">
      <c r="A278" s="26" t="s">
        <v>76</v>
      </c>
      <c r="B278" s="28" t="s">
        <v>77</v>
      </c>
      <c r="C278" s="28" t="s">
        <v>22</v>
      </c>
      <c r="D278" s="28" t="str">
        <f>VLOOKUP(C278,Employees!A:J,2,0)</f>
        <v>محمود اسماعيل</v>
      </c>
      <c r="E278" s="29" t="s">
        <v>78</v>
      </c>
      <c r="F278" s="29" t="s">
        <v>78</v>
      </c>
      <c r="G278" s="27" t="s">
        <v>79</v>
      </c>
      <c r="H278" s="29" t="s">
        <v>78</v>
      </c>
      <c r="I278" s="29" t="s">
        <v>78</v>
      </c>
      <c r="J278" s="22" t="s">
        <v>78</v>
      </c>
      <c r="K278" s="47" t="s">
        <v>78</v>
      </c>
      <c r="L278" s="22" t="s">
        <v>78</v>
      </c>
      <c r="M278" s="23" t="s">
        <v>78</v>
      </c>
      <c r="N278" s="24" t="s">
        <v>78</v>
      </c>
      <c r="O278" s="24" t="s">
        <v>78</v>
      </c>
      <c r="P278" s="23">
        <f>IF(G278="غياب",VLOOKUP(C278,Employees!$A$3:$J$36,9,FALSE()),0)</f>
        <v>0</v>
      </c>
    </row>
    <row r="279" spans="1:16" ht="15" customHeight="1">
      <c r="A279" s="17" t="s">
        <v>80</v>
      </c>
      <c r="B279" s="19" t="s">
        <v>81</v>
      </c>
      <c r="C279" s="19" t="s">
        <v>22</v>
      </c>
      <c r="D279" s="19" t="str">
        <f>VLOOKUP(C279,Employees!A:J,2,0)</f>
        <v>محمود اسماعيل</v>
      </c>
      <c r="E279" s="20">
        <v>0.625</v>
      </c>
      <c r="F279" s="20">
        <v>0.875</v>
      </c>
      <c r="G279" s="21" t="s">
        <v>69</v>
      </c>
      <c r="H279" s="20">
        <v>0.62152777777777779</v>
      </c>
      <c r="I279" s="20">
        <v>0.87916666666666665</v>
      </c>
      <c r="J279" s="22">
        <f t="shared" ref="J279:J284" si="148">IF(OR(H279="",G279="غياب",G279="إجازة أسبوعية"),0,
IF(H279&gt;=E279-TIME(0,20,0),0,
IF(H279&gt;=E279-TIME(0,30,0),30,(E279-H279)*1440)))</f>
        <v>0</v>
      </c>
      <c r="K279" s="47">
        <f>(J279/60)*VLOOKUP(C279,Employees!A:J,10,0)*1.5</f>
        <v>0</v>
      </c>
      <c r="L279" s="22">
        <f t="shared" ref="L279:L284" si="149">IF(OR(H279="",G279="غياب",G279="إجازة أسبوعية"),0,
IF(H279&lt;=E279+TIME(0,30,0),0,
30+((H279-(E279+TIME(0,30,0)))*1440)))</f>
        <v>0</v>
      </c>
      <c r="M279" s="23">
        <f>(L279/60)*VLOOKUP(C279,Employees!A:J,10,0)*2</f>
        <v>0</v>
      </c>
      <c r="N279" s="24">
        <f t="shared" ref="N279:N284" si="150">IF(OR(I279="",G279="غياب",G279="إجازة أسبوعية",I279&lt;=F279),0,
IF(MOD(I279-F279,1)&lt;=TIME(0,25,0),0,MAX(0,(I279-F279)*1440)))</f>
        <v>0</v>
      </c>
      <c r="O279" s="25">
        <f>(N279/60)*VLOOKUP(C279,Employees!A:J,10,0)*1.5</f>
        <v>0</v>
      </c>
      <c r="P279" s="23">
        <f>IF(G279="غياب",VLOOKUP(C279,Employees!$A$3:$J$36,9,FALSE()),0)</f>
        <v>0</v>
      </c>
    </row>
    <row r="280" spans="1:16" ht="15" customHeight="1">
      <c r="A280" s="17" t="s">
        <v>82</v>
      </c>
      <c r="B280" s="19" t="s">
        <v>83</v>
      </c>
      <c r="C280" s="19" t="s">
        <v>22</v>
      </c>
      <c r="D280" s="19" t="str">
        <f>VLOOKUP(C280,Employees!A:J,2,0)</f>
        <v>محمود اسماعيل</v>
      </c>
      <c r="E280" s="20">
        <v>0.625</v>
      </c>
      <c r="F280" s="20">
        <v>0.875</v>
      </c>
      <c r="G280" s="21" t="s">
        <v>69</v>
      </c>
      <c r="H280" s="20">
        <v>0.62569444444444444</v>
      </c>
      <c r="I280" s="20">
        <v>0.8618055555555556</v>
      </c>
      <c r="J280" s="22">
        <f t="shared" si="148"/>
        <v>0</v>
      </c>
      <c r="K280" s="47">
        <f>(J280/60)*VLOOKUP(C280,Employees!A:J,10,0)*1.5</f>
        <v>0</v>
      </c>
      <c r="L280" s="22">
        <f t="shared" si="149"/>
        <v>0</v>
      </c>
      <c r="M280" s="23">
        <f>(L280/60)*VLOOKUP(C280,Employees!A:J,10,0)*2</f>
        <v>0</v>
      </c>
      <c r="N280" s="24">
        <f t="shared" si="150"/>
        <v>0</v>
      </c>
      <c r="O280" s="25">
        <f>(N280/60)*VLOOKUP(C280,Employees!A:J,10,0)*1.5</f>
        <v>0</v>
      </c>
      <c r="P280" s="23">
        <f>IF(G280="غياب",VLOOKUP(C280,Employees!$A$3:$J$36,9,FALSE()),0)</f>
        <v>0</v>
      </c>
    </row>
    <row r="281" spans="1:16" ht="15" customHeight="1">
      <c r="A281" s="17" t="s">
        <v>84</v>
      </c>
      <c r="B281" s="19" t="s">
        <v>68</v>
      </c>
      <c r="C281" s="19" t="s">
        <v>22</v>
      </c>
      <c r="D281" s="19" t="str">
        <f>VLOOKUP(C281,Employees!A:J,2,0)</f>
        <v>محمود اسماعيل</v>
      </c>
      <c r="E281" s="20">
        <v>0.625</v>
      </c>
      <c r="F281" s="20">
        <v>0.875</v>
      </c>
      <c r="G281" s="21" t="s">
        <v>69</v>
      </c>
      <c r="H281" s="20">
        <v>0.62847222222222221</v>
      </c>
      <c r="I281" s="20">
        <v>0.875</v>
      </c>
      <c r="J281" s="22">
        <f t="shared" si="148"/>
        <v>0</v>
      </c>
      <c r="K281" s="47">
        <f>(J281/60)*VLOOKUP(C281,Employees!A:J,10,0)*1.5</f>
        <v>0</v>
      </c>
      <c r="L281" s="22">
        <f t="shared" si="149"/>
        <v>0</v>
      </c>
      <c r="M281" s="23">
        <f>(L281/60)*VLOOKUP(C281,Employees!A:J,10,0)*2</f>
        <v>0</v>
      </c>
      <c r="N281" s="24">
        <f t="shared" si="150"/>
        <v>0</v>
      </c>
      <c r="O281" s="25">
        <f>(N281/60)*VLOOKUP(C281,Employees!A:J,10,0)*1.5</f>
        <v>0</v>
      </c>
      <c r="P281" s="23">
        <f>IF(G281="غياب",VLOOKUP(C281,Employees!$A$3:$J$36,9,FALSE()),0)</f>
        <v>0</v>
      </c>
    </row>
    <row r="282" spans="1:16" ht="15" customHeight="1">
      <c r="A282" s="17" t="s">
        <v>85</v>
      </c>
      <c r="B282" s="19" t="s">
        <v>71</v>
      </c>
      <c r="C282" s="19" t="s">
        <v>22</v>
      </c>
      <c r="D282" s="19" t="str">
        <f>VLOOKUP(C282,Employees!A:J,2,0)</f>
        <v>محمود اسماعيل</v>
      </c>
      <c r="E282" s="20">
        <v>0.625</v>
      </c>
      <c r="F282" s="20">
        <v>0.875</v>
      </c>
      <c r="G282" s="21" t="s">
        <v>69</v>
      </c>
      <c r="H282" s="20">
        <v>0.62152777777777779</v>
      </c>
      <c r="I282" s="20">
        <v>0.88958333333333328</v>
      </c>
      <c r="J282" s="22">
        <f t="shared" si="148"/>
        <v>0</v>
      </c>
      <c r="K282" s="47">
        <f>(J282/60)*VLOOKUP(C282,Employees!A:J,10,0)*1.5</f>
        <v>0</v>
      </c>
      <c r="L282" s="22">
        <f t="shared" si="149"/>
        <v>0</v>
      </c>
      <c r="M282" s="23">
        <f>(L282/60)*VLOOKUP(C282,Employees!A:J,10,0)*2</f>
        <v>0</v>
      </c>
      <c r="N282" s="24">
        <f t="shared" si="150"/>
        <v>0</v>
      </c>
      <c r="O282" s="25">
        <f>(N282/60)*VLOOKUP(C282,Employees!A:J,10,0)*1.5</f>
        <v>0</v>
      </c>
      <c r="P282" s="23">
        <f>IF(G282="غياب",VLOOKUP(C282,Employees!$A$3:$J$36,9,FALSE()),0)</f>
        <v>0</v>
      </c>
    </row>
    <row r="283" spans="1:16" ht="15" customHeight="1">
      <c r="A283" s="17" t="s">
        <v>86</v>
      </c>
      <c r="B283" s="19" t="s">
        <v>73</v>
      </c>
      <c r="C283" s="19" t="s">
        <v>22</v>
      </c>
      <c r="D283" s="19" t="str">
        <f>VLOOKUP(C283,Employees!A:J,2,0)</f>
        <v>محمود اسماعيل</v>
      </c>
      <c r="E283" s="20">
        <v>0.625</v>
      </c>
      <c r="F283" s="20">
        <v>0.875</v>
      </c>
      <c r="G283" s="21" t="s">
        <v>69</v>
      </c>
      <c r="H283" s="20">
        <v>0.62222222222222223</v>
      </c>
      <c r="I283" s="20">
        <v>0.91111111111111109</v>
      </c>
      <c r="J283" s="22">
        <f t="shared" si="148"/>
        <v>0</v>
      </c>
      <c r="K283" s="47">
        <f>(J283/60)*VLOOKUP(C283,Employees!A:J,10,0)*1.5</f>
        <v>0</v>
      </c>
      <c r="L283" s="22">
        <f t="shared" si="149"/>
        <v>0</v>
      </c>
      <c r="M283" s="23">
        <f>(L283/60)*VLOOKUP(C283,Employees!A:J,10,0)*2</f>
        <v>0</v>
      </c>
      <c r="N283" s="24">
        <f t="shared" si="150"/>
        <v>51.999999999999972</v>
      </c>
      <c r="O283" s="25">
        <f>(N283/60)*VLOOKUP(C283,Employees!A:J,10,0)*1.5</f>
        <v>48.14814814814811</v>
      </c>
      <c r="P283" s="23">
        <f>IF(G283="غياب",VLOOKUP(C283,Employees!$A$3:$J$36,9,FALSE()),0)</f>
        <v>0</v>
      </c>
    </row>
    <row r="284" spans="1:16" ht="15" customHeight="1">
      <c r="A284" s="17" t="s">
        <v>87</v>
      </c>
      <c r="B284" s="19" t="s">
        <v>75</v>
      </c>
      <c r="C284" s="19" t="s">
        <v>22</v>
      </c>
      <c r="D284" s="19" t="str">
        <f>VLOOKUP(C284,Employees!A:J,2,0)</f>
        <v>محمود اسماعيل</v>
      </c>
      <c r="E284" s="20">
        <v>0.625</v>
      </c>
      <c r="F284" s="20">
        <v>0.91666666666666663</v>
      </c>
      <c r="G284" s="21" t="s">
        <v>69</v>
      </c>
      <c r="H284" s="20">
        <v>0.61736111111111114</v>
      </c>
      <c r="I284" s="20">
        <v>0.90555555555555556</v>
      </c>
      <c r="J284" s="22">
        <f t="shared" si="148"/>
        <v>0</v>
      </c>
      <c r="K284" s="47">
        <f>(J284/60)*VLOOKUP(C284,Employees!A:J,10,0)*1.5</f>
        <v>0</v>
      </c>
      <c r="L284" s="22">
        <f t="shared" si="149"/>
        <v>0</v>
      </c>
      <c r="M284" s="23">
        <f>(L284/60)*VLOOKUP(C284,Employees!A:J,10,0)*2</f>
        <v>0</v>
      </c>
      <c r="N284" s="24">
        <f t="shared" si="150"/>
        <v>0</v>
      </c>
      <c r="O284" s="25">
        <f>(N284/60)*VLOOKUP(C284,Employees!A:J,10,0)*1.5</f>
        <v>0</v>
      </c>
      <c r="P284" s="23">
        <f>IF(G284="غياب",VLOOKUP(C284,Employees!$A$3:$J$36,9,FALSE()),0)</f>
        <v>0</v>
      </c>
    </row>
    <row r="285" spans="1:16" ht="15" customHeight="1">
      <c r="A285" s="26" t="s">
        <v>88</v>
      </c>
      <c r="B285" s="28" t="s">
        <v>77</v>
      </c>
      <c r="C285" s="28" t="s">
        <v>22</v>
      </c>
      <c r="D285" s="28" t="str">
        <f>VLOOKUP(C285,Employees!A:J,2,0)</f>
        <v>محمود اسماعيل</v>
      </c>
      <c r="E285" s="29" t="s">
        <v>78</v>
      </c>
      <c r="F285" s="29" t="s">
        <v>78</v>
      </c>
      <c r="G285" s="27" t="s">
        <v>79</v>
      </c>
      <c r="H285" s="29" t="s">
        <v>78</v>
      </c>
      <c r="I285" s="29" t="s">
        <v>78</v>
      </c>
      <c r="J285" s="22" t="s">
        <v>78</v>
      </c>
      <c r="K285" s="47" t="s">
        <v>78</v>
      </c>
      <c r="L285" s="22" t="s">
        <v>78</v>
      </c>
      <c r="M285" s="23" t="s">
        <v>78</v>
      </c>
      <c r="N285" s="24" t="s">
        <v>78</v>
      </c>
      <c r="O285" s="24" t="s">
        <v>78</v>
      </c>
      <c r="P285" s="23">
        <f>IF(G285="غياب",VLOOKUP(C285,Employees!$A$3:$J$36,9,FALSE()),0)</f>
        <v>0</v>
      </c>
    </row>
    <row r="286" spans="1:16" ht="15" customHeight="1">
      <c r="A286" s="26" t="s">
        <v>89</v>
      </c>
      <c r="B286" s="28" t="s">
        <v>81</v>
      </c>
      <c r="C286" s="28" t="s">
        <v>22</v>
      </c>
      <c r="D286" s="28" t="str">
        <f>VLOOKUP(C286,Employees!A:J,2,0)</f>
        <v>محمود اسماعيل</v>
      </c>
      <c r="E286" s="29" t="s">
        <v>78</v>
      </c>
      <c r="F286" s="29" t="s">
        <v>78</v>
      </c>
      <c r="G286" s="27" t="s">
        <v>79</v>
      </c>
      <c r="H286" s="29" t="s">
        <v>78</v>
      </c>
      <c r="I286" s="29" t="s">
        <v>78</v>
      </c>
      <c r="J286" s="22" t="s">
        <v>78</v>
      </c>
      <c r="K286" s="47" t="s">
        <v>78</v>
      </c>
      <c r="L286" s="22" t="s">
        <v>78</v>
      </c>
      <c r="M286" s="23" t="s">
        <v>78</v>
      </c>
      <c r="N286" s="24" t="s">
        <v>78</v>
      </c>
      <c r="O286" s="24" t="s">
        <v>78</v>
      </c>
      <c r="P286" s="23">
        <f>IF(G286="غياب",VLOOKUP(C286,Employees!$A$3:$J$36,9,FALSE()),0)</f>
        <v>0</v>
      </c>
    </row>
    <row r="287" spans="1:16" ht="15" customHeight="1">
      <c r="A287" s="17" t="s">
        <v>90</v>
      </c>
      <c r="B287" s="19" t="s">
        <v>83</v>
      </c>
      <c r="C287" s="19" t="s">
        <v>22</v>
      </c>
      <c r="D287" s="19" t="str">
        <f>VLOOKUP(C287,Employees!A:J,2,0)</f>
        <v>محمود اسماعيل</v>
      </c>
      <c r="E287" s="20">
        <v>0.625</v>
      </c>
      <c r="F287" s="20">
        <v>0.91666666666666663</v>
      </c>
      <c r="G287" s="21" t="s">
        <v>69</v>
      </c>
      <c r="H287" s="20">
        <v>0.61875000000000002</v>
      </c>
      <c r="I287" s="30">
        <v>0.91388888888888886</v>
      </c>
      <c r="J287" s="22">
        <f t="shared" ref="J287:J291" si="151">IF(OR(H287="",G287="غياب",G287="إجازة أسبوعية"),0,
IF(H287&gt;=E287-TIME(0,20,0),0,
IF(H287&gt;=E287-TIME(0,30,0),30,(E287-H287)*1440)))</f>
        <v>0</v>
      </c>
      <c r="K287" s="47">
        <f>(J287/60)*VLOOKUP(C287,Employees!A:J,10,0)*1.5</f>
        <v>0</v>
      </c>
      <c r="L287" s="22">
        <f t="shared" ref="L287:L291" si="152">IF(OR(H287="",G287="غياب",G287="إجازة أسبوعية"),0,
IF(H287&lt;=E287+TIME(0,30,0),0,
30+((H287-(E287+TIME(0,30,0)))*1440)))</f>
        <v>0</v>
      </c>
      <c r="M287" s="23">
        <f>(L287/60)*VLOOKUP(C287,Employees!A:J,10,0)*2</f>
        <v>0</v>
      </c>
      <c r="N287" s="24">
        <f t="shared" ref="N287:N291" si="153">IF(OR(I287="",G287="غياب",G287="إجازة أسبوعية",I287&lt;=F287),0,
IF(MOD(I287-F287,1)&lt;=TIME(0,25,0),0,MAX(0,(I287-F287)*1440)))</f>
        <v>0</v>
      </c>
      <c r="O287" s="25">
        <f>(N287/60)*VLOOKUP(C287,Employees!A:J,10,0)*1.5</f>
        <v>0</v>
      </c>
      <c r="P287" s="23">
        <f>IF(G287="غياب",VLOOKUP(C287,Employees!$A$3:$J$36,9,FALSE()),0)</f>
        <v>0</v>
      </c>
    </row>
    <row r="288" spans="1:16" ht="15" customHeight="1">
      <c r="A288" s="17" t="s">
        <v>91</v>
      </c>
      <c r="B288" s="19" t="s">
        <v>68</v>
      </c>
      <c r="C288" s="19" t="s">
        <v>22</v>
      </c>
      <c r="D288" s="19" t="str">
        <f>VLOOKUP(C288,Employees!A:J,2,0)</f>
        <v>محمود اسماعيل</v>
      </c>
      <c r="E288" s="20">
        <v>0.625</v>
      </c>
      <c r="F288" s="20">
        <v>0.91666666666666663</v>
      </c>
      <c r="G288" s="21" t="s">
        <v>69</v>
      </c>
      <c r="H288" s="20">
        <v>0.62916666666666665</v>
      </c>
      <c r="I288" s="30">
        <v>0.9291666666666667</v>
      </c>
      <c r="J288" s="22">
        <f t="shared" si="151"/>
        <v>0</v>
      </c>
      <c r="K288" s="47">
        <f>(J288/60)*VLOOKUP(C288,Employees!A:J,10,0)*1.5</f>
        <v>0</v>
      </c>
      <c r="L288" s="22">
        <f t="shared" si="152"/>
        <v>0</v>
      </c>
      <c r="M288" s="23">
        <f>(L288/60)*VLOOKUP(C288,Employees!A:J,10,0)*2</f>
        <v>0</v>
      </c>
      <c r="N288" s="24">
        <f t="shared" si="153"/>
        <v>0</v>
      </c>
      <c r="O288" s="25">
        <f>(N288/60)*VLOOKUP(C288,Employees!A:J,10,0)*1.5</f>
        <v>0</v>
      </c>
      <c r="P288" s="23">
        <f>IF(G288="غياب",VLOOKUP(C288,Employees!$A$3:$J$36,9,FALSE()),0)</f>
        <v>0</v>
      </c>
    </row>
    <row r="289" spans="1:16" ht="15" customHeight="1">
      <c r="A289" s="17" t="s">
        <v>92</v>
      </c>
      <c r="B289" s="19" t="s">
        <v>71</v>
      </c>
      <c r="C289" s="19" t="s">
        <v>22</v>
      </c>
      <c r="D289" s="19" t="str">
        <f>VLOOKUP(C289,Employees!A:J,2,0)</f>
        <v>محمود اسماعيل</v>
      </c>
      <c r="E289" s="20">
        <v>0.625</v>
      </c>
      <c r="F289" s="20">
        <v>0.91666666666666663</v>
      </c>
      <c r="G289" s="21" t="s">
        <v>69</v>
      </c>
      <c r="H289" s="20">
        <v>0.60833333333333328</v>
      </c>
      <c r="I289" s="30">
        <v>0.90625</v>
      </c>
      <c r="J289" s="22">
        <f t="shared" si="151"/>
        <v>30</v>
      </c>
      <c r="K289" s="47">
        <f>(J289/60)*VLOOKUP(C289,Employees!A:J,10,0)*1.5</f>
        <v>27.777777777777771</v>
      </c>
      <c r="L289" s="22">
        <f t="shared" si="152"/>
        <v>0</v>
      </c>
      <c r="M289" s="23">
        <f>(L289/60)*VLOOKUP(C289,Employees!A:J,10,0)*2</f>
        <v>0</v>
      </c>
      <c r="N289" s="24">
        <f t="shared" si="153"/>
        <v>0</v>
      </c>
      <c r="O289" s="25">
        <f>(N289/60)*VLOOKUP(C289,Employees!A:J,10,0)*1.5</f>
        <v>0</v>
      </c>
      <c r="P289" s="23">
        <f>IF(G289="غياب",VLOOKUP(C289,Employees!$A$3:$J$36,9,FALSE()),0)</f>
        <v>0</v>
      </c>
    </row>
    <row r="290" spans="1:16" ht="15" customHeight="1">
      <c r="A290" s="17" t="s">
        <v>93</v>
      </c>
      <c r="B290" s="19" t="s">
        <v>73</v>
      </c>
      <c r="C290" s="19" t="s">
        <v>22</v>
      </c>
      <c r="D290" s="19" t="str">
        <f>VLOOKUP(C290,Employees!A:J,2,0)</f>
        <v>محمود اسماعيل</v>
      </c>
      <c r="E290" s="20">
        <v>0.625</v>
      </c>
      <c r="F290" s="20">
        <v>0.91666666666666663</v>
      </c>
      <c r="G290" s="21" t="s">
        <v>69</v>
      </c>
      <c r="H290" s="20">
        <v>0.61458333333333337</v>
      </c>
      <c r="I290" s="30">
        <v>0.92083333333333328</v>
      </c>
      <c r="J290" s="22">
        <f t="shared" si="151"/>
        <v>0</v>
      </c>
      <c r="K290" s="47">
        <f>(J290/60)*VLOOKUP(C290,Employees!A:J,10,0)*1.5</f>
        <v>0</v>
      </c>
      <c r="L290" s="22">
        <f t="shared" si="152"/>
        <v>0</v>
      </c>
      <c r="M290" s="23">
        <f>(L290/60)*VLOOKUP(C290,Employees!A:J,10,0)*2</f>
        <v>0</v>
      </c>
      <c r="N290" s="24">
        <f t="shared" si="153"/>
        <v>0</v>
      </c>
      <c r="O290" s="25">
        <f>(N290/60)*VLOOKUP(C290,Employees!A:J,10,0)*1.5</f>
        <v>0</v>
      </c>
      <c r="P290" s="23">
        <f>IF(G290="غياب",VLOOKUP(C290,Employees!$A$3:$J$36,9,FALSE()),0)</f>
        <v>0</v>
      </c>
    </row>
    <row r="291" spans="1:16" ht="15" customHeight="1">
      <c r="A291" s="17" t="s">
        <v>94</v>
      </c>
      <c r="B291" s="19" t="s">
        <v>75</v>
      </c>
      <c r="C291" s="19" t="s">
        <v>22</v>
      </c>
      <c r="D291" s="19" t="str">
        <f>VLOOKUP(C291,Employees!A:J,2,0)</f>
        <v>محمود اسماعيل</v>
      </c>
      <c r="E291" s="20">
        <v>0.625</v>
      </c>
      <c r="F291" s="20">
        <v>0.91666666666666663</v>
      </c>
      <c r="G291" s="21" t="s">
        <v>69</v>
      </c>
      <c r="H291" s="20">
        <v>0.625</v>
      </c>
      <c r="I291" s="30">
        <v>0.92638888888888893</v>
      </c>
      <c r="J291" s="22">
        <f t="shared" si="151"/>
        <v>0</v>
      </c>
      <c r="K291" s="47">
        <f>(J291/60)*VLOOKUP(C291,Employees!A:J,10,0)*1.5</f>
        <v>0</v>
      </c>
      <c r="L291" s="22">
        <f t="shared" si="152"/>
        <v>0</v>
      </c>
      <c r="M291" s="23">
        <f>(L291/60)*VLOOKUP(C291,Employees!A:J,10,0)*2</f>
        <v>0</v>
      </c>
      <c r="N291" s="24">
        <f t="shared" si="153"/>
        <v>0</v>
      </c>
      <c r="O291" s="25">
        <f>(N291/60)*VLOOKUP(C291,Employees!A:J,10,0)*1.5</f>
        <v>0</v>
      </c>
      <c r="P291" s="23">
        <f>IF(G291="غياب",VLOOKUP(C291,Employees!$A$3:$J$36,9,FALSE()),0)</f>
        <v>0</v>
      </c>
    </row>
    <row r="292" spans="1:16" ht="15" customHeight="1">
      <c r="A292" s="26" t="s">
        <v>95</v>
      </c>
      <c r="B292" s="28" t="s">
        <v>77</v>
      </c>
      <c r="C292" s="28" t="s">
        <v>22</v>
      </c>
      <c r="D292" s="28" t="str">
        <f>VLOOKUP(C292,Employees!A:J,2,0)</f>
        <v>محمود اسماعيل</v>
      </c>
      <c r="E292" s="29" t="s">
        <v>78</v>
      </c>
      <c r="F292" s="29" t="s">
        <v>78</v>
      </c>
      <c r="G292" s="27" t="s">
        <v>79</v>
      </c>
      <c r="H292" s="29" t="s">
        <v>78</v>
      </c>
      <c r="I292" s="29" t="s">
        <v>78</v>
      </c>
      <c r="J292" s="22" t="s">
        <v>78</v>
      </c>
      <c r="K292" s="47" t="s">
        <v>78</v>
      </c>
      <c r="L292" s="22" t="s">
        <v>78</v>
      </c>
      <c r="M292" s="23" t="s">
        <v>78</v>
      </c>
      <c r="N292" s="24" t="s">
        <v>78</v>
      </c>
      <c r="O292" s="24" t="s">
        <v>78</v>
      </c>
      <c r="P292" s="23">
        <f>IF(G292="غياب",VLOOKUP(C292,Employees!$A$3:$J$36,9,FALSE()),0)</f>
        <v>0</v>
      </c>
    </row>
    <row r="293" spans="1:16" ht="15" customHeight="1">
      <c r="A293" s="17" t="s">
        <v>96</v>
      </c>
      <c r="B293" s="19" t="s">
        <v>81</v>
      </c>
      <c r="C293" s="19" t="s">
        <v>22</v>
      </c>
      <c r="D293" s="19" t="str">
        <f>VLOOKUP(C293,Employees!A:J,2,0)</f>
        <v>محمود اسماعيل</v>
      </c>
      <c r="E293" s="20">
        <v>0.625</v>
      </c>
      <c r="F293" s="20">
        <v>0.91666666666666663</v>
      </c>
      <c r="G293" s="21" t="s">
        <v>69</v>
      </c>
      <c r="H293" s="20">
        <v>0.62430555555555556</v>
      </c>
      <c r="I293" s="30">
        <v>0.92291666666666672</v>
      </c>
      <c r="J293" s="22">
        <f t="shared" ref="J293:J298" si="154">IF(OR(H293="",G293="غياب",G293="إجازة أسبوعية"),0,
IF(H293&gt;=E293-TIME(0,20,0),0,
IF(H293&gt;=E293-TIME(0,30,0),30,(E293-H293)*1440)))</f>
        <v>0</v>
      </c>
      <c r="K293" s="47">
        <f>(J293/60)*VLOOKUP(C293,Employees!A:J,10,0)*1.5</f>
        <v>0</v>
      </c>
      <c r="L293" s="22">
        <f t="shared" ref="L293:L298" si="155">IF(OR(H293="",G293="غياب",G293="إجازة أسبوعية"),0,
IF(H293&lt;=E293+TIME(0,30,0),0,
30+((H293-(E293+TIME(0,30,0)))*1440)))</f>
        <v>0</v>
      </c>
      <c r="M293" s="23">
        <f>(L293/60)*VLOOKUP(C293,Employees!A:J,10,0)*2</f>
        <v>0</v>
      </c>
      <c r="N293" s="24">
        <f t="shared" ref="N293:N298" si="156">IF(OR(I293="",G293="غياب",G293="إجازة أسبوعية",I293&lt;=F293),0,
IF(MOD(I293-F293,1)&lt;=TIME(0,25,0),0,MAX(0,(I293-F293)*1440)))</f>
        <v>0</v>
      </c>
      <c r="O293" s="25">
        <f>(N293/60)*VLOOKUP(C293,Employees!A:J,10,0)*1.5</f>
        <v>0</v>
      </c>
      <c r="P293" s="23">
        <f>IF(G293="غياب",VLOOKUP(C293,Employees!$A$3:$J$36,9,FALSE()),0)</f>
        <v>0</v>
      </c>
    </row>
    <row r="294" spans="1:16" ht="15" customHeight="1">
      <c r="A294" s="17" t="s">
        <v>97</v>
      </c>
      <c r="B294" s="19" t="s">
        <v>83</v>
      </c>
      <c r="C294" s="19" t="s">
        <v>22</v>
      </c>
      <c r="D294" s="19" t="str">
        <f>VLOOKUP(C294,Employees!A:J,2,0)</f>
        <v>محمود اسماعيل</v>
      </c>
      <c r="E294" s="20">
        <v>0.625</v>
      </c>
      <c r="F294" s="20">
        <v>0.91666666666666663</v>
      </c>
      <c r="G294" s="21" t="s">
        <v>69</v>
      </c>
      <c r="H294" s="20">
        <v>0.62361111111111112</v>
      </c>
      <c r="I294" s="30">
        <v>0.91874999999999996</v>
      </c>
      <c r="J294" s="22">
        <f t="shared" si="154"/>
        <v>0</v>
      </c>
      <c r="K294" s="47">
        <f>(J294/60)*VLOOKUP(C294,Employees!A:J,10,0)*1.5</f>
        <v>0</v>
      </c>
      <c r="L294" s="22">
        <f t="shared" si="155"/>
        <v>0</v>
      </c>
      <c r="M294" s="23">
        <f>(L294/60)*VLOOKUP(C294,Employees!A:J,10,0)*2</f>
        <v>0</v>
      </c>
      <c r="N294" s="24">
        <f t="shared" si="156"/>
        <v>0</v>
      </c>
      <c r="O294" s="25">
        <f>(N294/60)*VLOOKUP(C294,Employees!A:J,10,0)*1.5</f>
        <v>0</v>
      </c>
      <c r="P294" s="23">
        <f>IF(G294="غياب",VLOOKUP(C294,Employees!$A$3:$J$36,9,FALSE()),0)</f>
        <v>0</v>
      </c>
    </row>
    <row r="295" spans="1:16" ht="15" customHeight="1">
      <c r="A295" s="17" t="s">
        <v>98</v>
      </c>
      <c r="B295" s="19" t="s">
        <v>68</v>
      </c>
      <c r="C295" s="19" t="s">
        <v>22</v>
      </c>
      <c r="D295" s="19" t="str">
        <f>VLOOKUP(C295,Employees!A:J,2,0)</f>
        <v>محمود اسماعيل</v>
      </c>
      <c r="E295" s="20">
        <v>0.625</v>
      </c>
      <c r="F295" s="20">
        <v>0.91666666666666663</v>
      </c>
      <c r="G295" s="21" t="s">
        <v>69</v>
      </c>
      <c r="H295" s="20">
        <v>0.62986111111111109</v>
      </c>
      <c r="I295" s="20">
        <v>0.92777777777777781</v>
      </c>
      <c r="J295" s="22">
        <f t="shared" si="154"/>
        <v>0</v>
      </c>
      <c r="K295" s="47">
        <f>(J295/60)*VLOOKUP(C295,Employees!A:J,10,0)*1.5</f>
        <v>0</v>
      </c>
      <c r="L295" s="22">
        <f t="shared" si="155"/>
        <v>0</v>
      </c>
      <c r="M295" s="23">
        <f>(L295/60)*VLOOKUP(C295,Employees!A:J,10,0)*2</f>
        <v>0</v>
      </c>
      <c r="N295" s="24">
        <f t="shared" si="156"/>
        <v>0</v>
      </c>
      <c r="O295" s="25">
        <f>(N295/60)*VLOOKUP(C295,Employees!A:J,10,0)*1.5</f>
        <v>0</v>
      </c>
      <c r="P295" s="23">
        <f>IF(G295="غياب",VLOOKUP(C295,Employees!$A$3:$J$36,9,FALSE()),0)</f>
        <v>0</v>
      </c>
    </row>
    <row r="296" spans="1:16" ht="15" customHeight="1">
      <c r="A296" s="17" t="s">
        <v>99</v>
      </c>
      <c r="B296" s="19" t="s">
        <v>71</v>
      </c>
      <c r="C296" s="19" t="s">
        <v>22</v>
      </c>
      <c r="D296" s="19" t="str">
        <f>VLOOKUP(C296,Employees!A:J,2,0)</f>
        <v>محمود اسماعيل</v>
      </c>
      <c r="E296" s="20">
        <v>0.625</v>
      </c>
      <c r="F296" s="20">
        <v>0.91666666666666663</v>
      </c>
      <c r="G296" s="21" t="s">
        <v>69</v>
      </c>
      <c r="H296" s="20">
        <v>0.62708333333333333</v>
      </c>
      <c r="I296" s="20">
        <v>0.91388888888888886</v>
      </c>
      <c r="J296" s="22">
        <f t="shared" si="154"/>
        <v>0</v>
      </c>
      <c r="K296" s="47">
        <f>(J296/60)*VLOOKUP(C296,Employees!A:J,10,0)*1.5</f>
        <v>0</v>
      </c>
      <c r="L296" s="22">
        <f t="shared" si="155"/>
        <v>0</v>
      </c>
      <c r="M296" s="23">
        <f>(L296/60)*VLOOKUP(C296,Employees!A:J,10,0)*2</f>
        <v>0</v>
      </c>
      <c r="N296" s="24">
        <f t="shared" si="156"/>
        <v>0</v>
      </c>
      <c r="O296" s="25">
        <f>(N296/60)*VLOOKUP(C296,Employees!A:J,10,0)*1.5</f>
        <v>0</v>
      </c>
      <c r="P296" s="23">
        <f>IF(G296="غياب",VLOOKUP(C296,Employees!$A$3:$J$36,9,FALSE()),0)</f>
        <v>0</v>
      </c>
    </row>
    <row r="297" spans="1:16" ht="15" customHeight="1">
      <c r="A297" s="17" t="s">
        <v>100</v>
      </c>
      <c r="B297" s="19" t="s">
        <v>73</v>
      </c>
      <c r="C297" s="19" t="s">
        <v>22</v>
      </c>
      <c r="D297" s="19" t="str">
        <f>VLOOKUP(C297,Employees!A:J,2,0)</f>
        <v>محمود اسماعيل</v>
      </c>
      <c r="E297" s="20">
        <v>0.58333333333333337</v>
      </c>
      <c r="F297" s="20">
        <v>0.875</v>
      </c>
      <c r="G297" s="21" t="s">
        <v>69</v>
      </c>
      <c r="H297" s="20">
        <v>0.57708333333333328</v>
      </c>
      <c r="I297" s="20">
        <v>0.87638888888888888</v>
      </c>
      <c r="J297" s="22">
        <f t="shared" si="154"/>
        <v>0</v>
      </c>
      <c r="K297" s="47">
        <f>(J297/60)*VLOOKUP(C297,Employees!A:J,10,0)*1.5</f>
        <v>0</v>
      </c>
      <c r="L297" s="22">
        <f t="shared" si="155"/>
        <v>0</v>
      </c>
      <c r="M297" s="23">
        <f>(L297/60)*VLOOKUP(C297,Employees!A:J,10,0)*2</f>
        <v>0</v>
      </c>
      <c r="N297" s="24">
        <f t="shared" si="156"/>
        <v>0</v>
      </c>
      <c r="O297" s="25">
        <f>(N297/60)*VLOOKUP(C297,Employees!A:J,10,0)*1.5</f>
        <v>0</v>
      </c>
      <c r="P297" s="23">
        <f>IF(G297="غياب",VLOOKUP(C297,Employees!$A$3:$J$36,9,FALSE()),0)</f>
        <v>0</v>
      </c>
    </row>
    <row r="298" spans="1:16" ht="15" customHeight="1">
      <c r="A298" s="17" t="s">
        <v>101</v>
      </c>
      <c r="B298" s="19" t="s">
        <v>75</v>
      </c>
      <c r="C298" s="19" t="s">
        <v>22</v>
      </c>
      <c r="D298" s="19" t="str">
        <f>VLOOKUP(C298,Employees!A:J,2,0)</f>
        <v>محمود اسماعيل</v>
      </c>
      <c r="E298" s="20">
        <v>0.58333333333333337</v>
      </c>
      <c r="F298" s="20">
        <v>0.875</v>
      </c>
      <c r="G298" s="21" t="s">
        <v>69</v>
      </c>
      <c r="H298" s="20">
        <v>0.58472222222222225</v>
      </c>
      <c r="I298" s="20">
        <v>0.8979166666666667</v>
      </c>
      <c r="J298" s="22">
        <f t="shared" si="154"/>
        <v>0</v>
      </c>
      <c r="K298" s="47">
        <f>(J298/60)*VLOOKUP(C298,Employees!A:J,10,0)*1.5</f>
        <v>0</v>
      </c>
      <c r="L298" s="22">
        <f t="shared" si="155"/>
        <v>0</v>
      </c>
      <c r="M298" s="23">
        <f>(L298/60)*VLOOKUP(C298,Employees!A:J,10,0)*2</f>
        <v>0</v>
      </c>
      <c r="N298" s="24">
        <f t="shared" si="156"/>
        <v>33.000000000000043</v>
      </c>
      <c r="O298" s="25">
        <f>(N298/60)*VLOOKUP(C298,Employees!A:J,10,0)*1.5</f>
        <v>30.555555555555593</v>
      </c>
      <c r="P298" s="23">
        <f>IF(G298="غياب",VLOOKUP(C298,Employees!$A$3:$J$36,9,FALSE()),0)</f>
        <v>0</v>
      </c>
    </row>
    <row r="299" spans="1:16" ht="15" customHeight="1">
      <c r="A299" s="26" t="s">
        <v>102</v>
      </c>
      <c r="B299" s="28" t="s">
        <v>77</v>
      </c>
      <c r="C299" s="28" t="s">
        <v>22</v>
      </c>
      <c r="D299" s="28" t="str">
        <f>VLOOKUP(C299,Employees!A:J,2,0)</f>
        <v>محمود اسماعيل</v>
      </c>
      <c r="E299" s="29" t="s">
        <v>78</v>
      </c>
      <c r="F299" s="29" t="s">
        <v>78</v>
      </c>
      <c r="G299" s="27" t="s">
        <v>79</v>
      </c>
      <c r="H299" s="29" t="s">
        <v>78</v>
      </c>
      <c r="I299" s="29" t="s">
        <v>78</v>
      </c>
      <c r="J299" s="22" t="s">
        <v>78</v>
      </c>
      <c r="K299" s="47" t="s">
        <v>78</v>
      </c>
      <c r="L299" s="22" t="s">
        <v>78</v>
      </c>
      <c r="M299" s="23" t="s">
        <v>78</v>
      </c>
      <c r="N299" s="24" t="s">
        <v>78</v>
      </c>
      <c r="O299" s="24" t="s">
        <v>78</v>
      </c>
      <c r="P299" s="23">
        <f>IF(G299="غياب",VLOOKUP(C299,Employees!$A$3:$J$36,9,FALSE()),0)</f>
        <v>0</v>
      </c>
    </row>
    <row r="300" spans="1:16" ht="15" customHeight="1">
      <c r="A300" s="17" t="s">
        <v>103</v>
      </c>
      <c r="B300" s="19" t="s">
        <v>81</v>
      </c>
      <c r="C300" s="19" t="s">
        <v>22</v>
      </c>
      <c r="D300" s="19" t="str">
        <f>VLOOKUP(C300,Employees!A:J,2,0)</f>
        <v>محمود اسماعيل</v>
      </c>
      <c r="E300" s="20">
        <v>0.58333333333333337</v>
      </c>
      <c r="F300" s="20">
        <v>0.875</v>
      </c>
      <c r="G300" s="21" t="s">
        <v>69</v>
      </c>
      <c r="H300" s="20">
        <v>0.58125000000000004</v>
      </c>
      <c r="I300" s="20">
        <v>0.89027777777777772</v>
      </c>
      <c r="J300" s="22">
        <f t="shared" ref="J300:J307" si="157">IF(OR(H300="",G300="غياب",G300="إجازة أسبوعية"),0,
IF(H300&gt;=E300-TIME(0,20,0),0,
IF(H300&gt;=E300-TIME(0,30,0),30,(E300-H300)*1440)))</f>
        <v>0</v>
      </c>
      <c r="K300" s="47">
        <f>(J300/60)*VLOOKUP(C300,Employees!A:J,10,0)*1.5</f>
        <v>0</v>
      </c>
      <c r="L300" s="22">
        <f t="shared" ref="L300:L307" si="158">IF(OR(H300="",G300="غياب",G300="إجازة أسبوعية"),0,
IF(H300&lt;=E300+TIME(0,30,0),0,
30+((H300-(E300+TIME(0,30,0)))*1440)))</f>
        <v>0</v>
      </c>
      <c r="M300" s="23">
        <f>(L300/60)*VLOOKUP(C300,Employees!A:J,10,0)*2</f>
        <v>0</v>
      </c>
      <c r="N300" s="24">
        <f t="shared" ref="N300:N307" si="159">IF(OR(I300="",G300="غياب",G300="إجازة أسبوعية",I300&lt;=F300),0,
IF(MOD(I300-F300,1)&lt;=TIME(0,25,0),0,MAX(0,(I300-F300)*1440)))</f>
        <v>0</v>
      </c>
      <c r="O300" s="25">
        <f>(N300/60)*VLOOKUP(C300,Employees!A:J,10,0)*1.5</f>
        <v>0</v>
      </c>
      <c r="P300" s="23">
        <f>IF(G300="غياب",VLOOKUP(C300,Employees!$A$3:$J$36,9,FALSE()),0)</f>
        <v>0</v>
      </c>
    </row>
    <row r="301" spans="1:16" ht="15" customHeight="1">
      <c r="A301" s="17" t="s">
        <v>104</v>
      </c>
      <c r="B301" s="19" t="s">
        <v>83</v>
      </c>
      <c r="C301" s="19" t="s">
        <v>22</v>
      </c>
      <c r="D301" s="19" t="str">
        <f>VLOOKUP(C301,Employees!A:J,2,0)</f>
        <v>محمود اسماعيل</v>
      </c>
      <c r="E301" s="20">
        <v>0.58333333333333337</v>
      </c>
      <c r="F301" s="20">
        <v>0.875</v>
      </c>
      <c r="G301" s="21" t="s">
        <v>69</v>
      </c>
      <c r="H301" s="20">
        <v>0.57847222222222228</v>
      </c>
      <c r="I301" s="20">
        <v>0.88472222222222219</v>
      </c>
      <c r="J301" s="22">
        <f t="shared" si="157"/>
        <v>0</v>
      </c>
      <c r="K301" s="47">
        <f>(J301/60)*VLOOKUP(C301,Employees!A:J,10,0)*1.5</f>
        <v>0</v>
      </c>
      <c r="L301" s="22">
        <f t="shared" si="158"/>
        <v>0</v>
      </c>
      <c r="M301" s="23">
        <f>(L301/60)*VLOOKUP(C301,Employees!A:J,10,0)*2</f>
        <v>0</v>
      </c>
      <c r="N301" s="24">
        <f t="shared" si="159"/>
        <v>0</v>
      </c>
      <c r="O301" s="25">
        <f>(N301/60)*VLOOKUP(C301,Employees!A:J,10,0)*1.5</f>
        <v>0</v>
      </c>
      <c r="P301" s="23">
        <f>IF(G301="غياب",VLOOKUP(C301,Employees!$A$3:$J$36,9,FALSE()),0)</f>
        <v>0</v>
      </c>
    </row>
    <row r="302" spans="1:16" ht="15" customHeight="1">
      <c r="A302" s="17" t="s">
        <v>105</v>
      </c>
      <c r="B302" s="19" t="s">
        <v>68</v>
      </c>
      <c r="C302" s="19" t="s">
        <v>22</v>
      </c>
      <c r="D302" s="19" t="str">
        <f>VLOOKUP(C302,Employees!A:J,2,0)</f>
        <v>محمود اسماعيل</v>
      </c>
      <c r="E302" s="20">
        <v>0.58333333333333337</v>
      </c>
      <c r="F302" s="20">
        <v>0.875</v>
      </c>
      <c r="G302" s="21" t="s">
        <v>69</v>
      </c>
      <c r="H302" s="20">
        <v>0.57916666666666672</v>
      </c>
      <c r="I302" s="20">
        <v>0.88472222222222219</v>
      </c>
      <c r="J302" s="22">
        <f t="shared" si="157"/>
        <v>0</v>
      </c>
      <c r="K302" s="47">
        <f>(J302/60)*VLOOKUP(C302,Employees!A:J,10,0)*1.5</f>
        <v>0</v>
      </c>
      <c r="L302" s="22">
        <f t="shared" si="158"/>
        <v>0</v>
      </c>
      <c r="M302" s="23">
        <f>(L302/60)*VLOOKUP(C302,Employees!A:J,10,0)*2</f>
        <v>0</v>
      </c>
      <c r="N302" s="24">
        <f t="shared" si="159"/>
        <v>0</v>
      </c>
      <c r="O302" s="25">
        <f>(N302/60)*VLOOKUP(C302,Employees!A:J,10,0)*1.5</f>
        <v>0</v>
      </c>
      <c r="P302" s="23">
        <f>IF(G302="غياب",VLOOKUP(C302,Employees!$A$3:$J$36,9,FALSE()),0)</f>
        <v>0</v>
      </c>
    </row>
    <row r="303" spans="1:16" ht="15" customHeight="1">
      <c r="A303" s="17" t="s">
        <v>106</v>
      </c>
      <c r="B303" s="19" t="s">
        <v>71</v>
      </c>
      <c r="C303" s="19" t="s">
        <v>22</v>
      </c>
      <c r="D303" s="19" t="str">
        <f>VLOOKUP(C303,Employees!A:J,2,0)</f>
        <v>محمود اسماعيل</v>
      </c>
      <c r="E303" s="20">
        <v>0.58333333333333337</v>
      </c>
      <c r="F303" s="20">
        <v>0.875</v>
      </c>
      <c r="G303" s="21" t="s">
        <v>69</v>
      </c>
      <c r="H303" s="20">
        <v>0.58194444444444449</v>
      </c>
      <c r="I303" s="20">
        <v>0.875</v>
      </c>
      <c r="J303" s="22">
        <f t="shared" si="157"/>
        <v>0</v>
      </c>
      <c r="K303" s="47">
        <f>(J303/60)*VLOOKUP(C303,Employees!A:J,10,0)*1.5</f>
        <v>0</v>
      </c>
      <c r="L303" s="22">
        <f t="shared" si="158"/>
        <v>0</v>
      </c>
      <c r="M303" s="23">
        <f>(L303/60)*VLOOKUP(C303,Employees!A:J,10,0)*2</f>
        <v>0</v>
      </c>
      <c r="N303" s="24">
        <f t="shared" si="159"/>
        <v>0</v>
      </c>
      <c r="O303" s="25">
        <f>(N303/60)*VLOOKUP(C303,Employees!A:J,10,0)*1.5</f>
        <v>0</v>
      </c>
      <c r="P303" s="23">
        <f>IF(G303="غياب",VLOOKUP(C303,Employees!$A$3:$J$36,9,FALSE()),0)</f>
        <v>0</v>
      </c>
    </row>
    <row r="304" spans="1:16" ht="15" customHeight="1">
      <c r="A304" s="17" t="s">
        <v>67</v>
      </c>
      <c r="B304" s="19" t="s">
        <v>68</v>
      </c>
      <c r="C304" s="19" t="s">
        <v>23</v>
      </c>
      <c r="D304" s="19" t="str">
        <f>VLOOKUP(C304,Employees!A:J,2,0)</f>
        <v>ابراهيم خليفة</v>
      </c>
      <c r="E304" s="20">
        <v>0.375</v>
      </c>
      <c r="F304" s="20">
        <v>0.875</v>
      </c>
      <c r="G304" s="21" t="s">
        <v>69</v>
      </c>
      <c r="H304" s="20">
        <f>E304</f>
        <v>0.375</v>
      </c>
      <c r="I304" s="20">
        <v>0.87013888888888891</v>
      </c>
      <c r="J304" s="22">
        <f t="shared" si="157"/>
        <v>0</v>
      </c>
      <c r="K304" s="47">
        <f>(J304/60)*VLOOKUP(C304,Employees!A:J,10,0)*1.5</f>
        <v>0</v>
      </c>
      <c r="L304" s="22">
        <f t="shared" si="158"/>
        <v>0</v>
      </c>
      <c r="M304" s="23">
        <f>(L304/60)*VLOOKUP(C304,Employees!A:J,10,0)*2</f>
        <v>0</v>
      </c>
      <c r="N304" s="24">
        <f t="shared" si="159"/>
        <v>0</v>
      </c>
      <c r="O304" s="25">
        <f>(N304/60)*VLOOKUP(C304,Employees!A:J,10,0)*1.5</f>
        <v>0</v>
      </c>
      <c r="P304" s="23">
        <f>IF(G304="غياب",VLOOKUP(C304,Employees!$A$3:$J$36,9,FALSE()),0)</f>
        <v>0</v>
      </c>
    </row>
    <row r="305" spans="1:16" ht="15" customHeight="1">
      <c r="A305" s="17" t="s">
        <v>70</v>
      </c>
      <c r="B305" s="19" t="s">
        <v>71</v>
      </c>
      <c r="C305" s="19" t="s">
        <v>23</v>
      </c>
      <c r="D305" s="19" t="str">
        <f>VLOOKUP(C305,Employees!A:J,2,0)</f>
        <v>ابراهيم خليفة</v>
      </c>
      <c r="E305" s="20">
        <v>0.375</v>
      </c>
      <c r="F305" s="20">
        <v>0.875</v>
      </c>
      <c r="G305" s="21" t="s">
        <v>69</v>
      </c>
      <c r="H305" s="20">
        <f t="shared" ref="H305:H307" si="160">E305</f>
        <v>0.375</v>
      </c>
      <c r="I305" s="20">
        <v>0.90555555555555556</v>
      </c>
      <c r="J305" s="22">
        <f t="shared" si="157"/>
        <v>0</v>
      </c>
      <c r="K305" s="47">
        <f>(J305/60)*VLOOKUP(C305,Employees!A:J,10,0)*1.5</f>
        <v>0</v>
      </c>
      <c r="L305" s="22">
        <f t="shared" si="158"/>
        <v>0</v>
      </c>
      <c r="M305" s="23">
        <f>(L305/60)*VLOOKUP(C305,Employees!A:J,10,0)*2</f>
        <v>0</v>
      </c>
      <c r="N305" s="24">
        <f t="shared" si="159"/>
        <v>44</v>
      </c>
      <c r="O305" s="25">
        <f>(N305/60)*VLOOKUP(C305,Employees!A:J,10,0)*1.5</f>
        <v>23.765432098765427</v>
      </c>
      <c r="P305" s="23">
        <f>IF(G305="غياب",VLOOKUP(C305,Employees!$A$3:$J$36,9,FALSE()),0)</f>
        <v>0</v>
      </c>
    </row>
    <row r="306" spans="1:16" ht="15" customHeight="1">
      <c r="A306" s="17" t="s">
        <v>72</v>
      </c>
      <c r="B306" s="19" t="s">
        <v>73</v>
      </c>
      <c r="C306" s="19" t="s">
        <v>23</v>
      </c>
      <c r="D306" s="19" t="str">
        <f>VLOOKUP(C306,Employees!A:J,2,0)</f>
        <v>ابراهيم خليفة</v>
      </c>
      <c r="E306" s="20">
        <v>0.375</v>
      </c>
      <c r="F306" s="20">
        <v>0.875</v>
      </c>
      <c r="G306" s="21" t="s">
        <v>69</v>
      </c>
      <c r="H306" s="20">
        <f t="shared" si="160"/>
        <v>0.375</v>
      </c>
      <c r="I306" s="20">
        <v>0.9291666666666667</v>
      </c>
      <c r="J306" s="22">
        <f t="shared" si="157"/>
        <v>0</v>
      </c>
      <c r="K306" s="47">
        <f>(J306/60)*VLOOKUP(C306,Employees!A:J,10,0)*1.5</f>
        <v>0</v>
      </c>
      <c r="L306" s="22">
        <f t="shared" si="158"/>
        <v>0</v>
      </c>
      <c r="M306" s="23">
        <f>(L306/60)*VLOOKUP(C306,Employees!A:J,10,0)*2</f>
        <v>0</v>
      </c>
      <c r="N306" s="24">
        <f t="shared" si="159"/>
        <v>78.000000000000043</v>
      </c>
      <c r="O306" s="25">
        <f>(N306/60)*VLOOKUP(C306,Employees!A:J,10,0)*1.5</f>
        <v>42.129629629629648</v>
      </c>
      <c r="P306" s="23">
        <f>IF(G306="غياب",VLOOKUP(C306,Employees!$A$3:$J$36,9,FALSE()),0)</f>
        <v>0</v>
      </c>
    </row>
    <row r="307" spans="1:16" ht="15" customHeight="1">
      <c r="A307" s="17" t="s">
        <v>74</v>
      </c>
      <c r="B307" s="19" t="s">
        <v>75</v>
      </c>
      <c r="C307" s="19" t="s">
        <v>23</v>
      </c>
      <c r="D307" s="19" t="str">
        <f>VLOOKUP(C307,Employees!A:J,2,0)</f>
        <v>ابراهيم خليفة</v>
      </c>
      <c r="E307" s="20">
        <v>0.375</v>
      </c>
      <c r="F307" s="20">
        <v>0.875</v>
      </c>
      <c r="G307" s="21" t="s">
        <v>69</v>
      </c>
      <c r="H307" s="20">
        <f t="shared" si="160"/>
        <v>0.375</v>
      </c>
      <c r="I307" s="20">
        <v>0.91180555555555554</v>
      </c>
      <c r="J307" s="22">
        <f t="shared" si="157"/>
        <v>0</v>
      </c>
      <c r="K307" s="47">
        <f>(J307/60)*VLOOKUP(C307,Employees!A:J,10,0)*1.5</f>
        <v>0</v>
      </c>
      <c r="L307" s="22">
        <f t="shared" si="158"/>
        <v>0</v>
      </c>
      <c r="M307" s="23">
        <f>(L307/60)*VLOOKUP(C307,Employees!A:J,10,0)*2</f>
        <v>0</v>
      </c>
      <c r="N307" s="24">
        <f t="shared" si="159"/>
        <v>52.999999999999972</v>
      </c>
      <c r="O307" s="25">
        <f>(N307/60)*VLOOKUP(C307,Employees!A:J,10,0)*1.5</f>
        <v>28.626543209876523</v>
      </c>
      <c r="P307" s="23">
        <f>IF(G307="غياب",VLOOKUP(C307,Employees!$A$3:$J$36,9,FALSE()),0)</f>
        <v>0</v>
      </c>
    </row>
    <row r="308" spans="1:16" ht="15" customHeight="1">
      <c r="A308" s="26" t="s">
        <v>76</v>
      </c>
      <c r="B308" s="28" t="s">
        <v>77</v>
      </c>
      <c r="C308" s="28" t="s">
        <v>23</v>
      </c>
      <c r="D308" s="28" t="str">
        <f>VLOOKUP(C308,Employees!A:J,2,0)</f>
        <v>ابراهيم خليفة</v>
      </c>
      <c r="E308" s="29" t="s">
        <v>78</v>
      </c>
      <c r="F308" s="29" t="s">
        <v>78</v>
      </c>
      <c r="G308" s="27" t="s">
        <v>79</v>
      </c>
      <c r="H308" s="29" t="s">
        <v>78</v>
      </c>
      <c r="I308" s="29" t="s">
        <v>78</v>
      </c>
      <c r="J308" s="22" t="s">
        <v>78</v>
      </c>
      <c r="K308" s="47" t="s">
        <v>78</v>
      </c>
      <c r="L308" s="22" t="s">
        <v>78</v>
      </c>
      <c r="M308" s="23" t="s">
        <v>78</v>
      </c>
      <c r="N308" s="24" t="s">
        <v>78</v>
      </c>
      <c r="O308" s="24" t="s">
        <v>78</v>
      </c>
      <c r="P308" s="23">
        <f>IF(G308="غياب",VLOOKUP(C308,Employees!$A$3:$J$36,9,FALSE()),0)</f>
        <v>0</v>
      </c>
    </row>
    <row r="309" spans="1:16" ht="15" customHeight="1">
      <c r="A309" s="17" t="s">
        <v>80</v>
      </c>
      <c r="B309" s="19" t="s">
        <v>81</v>
      </c>
      <c r="C309" s="19" t="s">
        <v>23</v>
      </c>
      <c r="D309" s="19" t="str">
        <f>VLOOKUP(C309,Employees!A:J,2,0)</f>
        <v>ابراهيم خليفة</v>
      </c>
      <c r="E309" s="20">
        <v>0.375</v>
      </c>
      <c r="F309" s="20">
        <v>0.875</v>
      </c>
      <c r="G309" s="21" t="s">
        <v>69</v>
      </c>
      <c r="H309" s="20">
        <f t="shared" ref="H309:H314" si="161">E309</f>
        <v>0.375</v>
      </c>
      <c r="I309" s="30">
        <v>0.92569444444444449</v>
      </c>
      <c r="J309" s="22">
        <f t="shared" ref="J309:J314" si="162">IF(OR(H309="",G309="غياب",G309="إجازة أسبوعية"),0,
IF(H309&gt;=E309-TIME(0,20,0),0,
IF(H309&gt;=E309-TIME(0,30,0),30,(E309-H309)*1440)))</f>
        <v>0</v>
      </c>
      <c r="K309" s="47">
        <f>(J309/60)*VLOOKUP(C309,Employees!A:J,10,0)*1.5</f>
        <v>0</v>
      </c>
      <c r="L309" s="22">
        <f t="shared" ref="L309:L314" si="163">IF(OR(H309="",G309="غياب",G309="إجازة أسبوعية"),0,
IF(H309&lt;=E309+TIME(0,30,0),0,
30+((H309-(E309+TIME(0,30,0)))*1440)))</f>
        <v>0</v>
      </c>
      <c r="M309" s="23">
        <f>(L309/60)*VLOOKUP(C309,Employees!A:J,10,0)*2</f>
        <v>0</v>
      </c>
      <c r="N309" s="24">
        <f t="shared" ref="N309:N314" si="164">IF(OR(I309="",G309="غياب",G309="إجازة أسبوعية",I309&lt;=F309),0,
IF(MOD(I309-F309,1)&lt;=TIME(0,25,0),0,MAX(0,(I309-F309)*1440)))</f>
        <v>73.000000000000057</v>
      </c>
      <c r="O309" s="25">
        <f>(N309/60)*VLOOKUP(C309,Employees!A:J,10,0)*1.5</f>
        <v>39.429012345679041</v>
      </c>
      <c r="P309" s="23">
        <f>IF(G309="غياب",VLOOKUP(C309,Employees!$A$3:$J$36,9,FALSE()),0)</f>
        <v>0</v>
      </c>
    </row>
    <row r="310" spans="1:16" ht="15" customHeight="1">
      <c r="A310" s="17" t="s">
        <v>82</v>
      </c>
      <c r="B310" s="19" t="s">
        <v>83</v>
      </c>
      <c r="C310" s="19" t="s">
        <v>23</v>
      </c>
      <c r="D310" s="19" t="str">
        <f>VLOOKUP(C310,Employees!A:J,2,0)</f>
        <v>ابراهيم خليفة</v>
      </c>
      <c r="E310" s="20">
        <v>0.375</v>
      </c>
      <c r="F310" s="20">
        <v>0.875</v>
      </c>
      <c r="G310" s="21" t="s">
        <v>69</v>
      </c>
      <c r="H310" s="20">
        <f t="shared" si="161"/>
        <v>0.375</v>
      </c>
      <c r="I310" s="30">
        <v>0.94305555555555554</v>
      </c>
      <c r="J310" s="22">
        <f t="shared" si="162"/>
        <v>0</v>
      </c>
      <c r="K310" s="47">
        <f>(J310/60)*VLOOKUP(C310,Employees!A:J,10,0)*1.5</f>
        <v>0</v>
      </c>
      <c r="L310" s="22">
        <f t="shared" si="163"/>
        <v>0</v>
      </c>
      <c r="M310" s="23">
        <f>(L310/60)*VLOOKUP(C310,Employees!A:J,10,0)*2</f>
        <v>0</v>
      </c>
      <c r="N310" s="24">
        <f t="shared" si="164"/>
        <v>97.999999999999972</v>
      </c>
      <c r="O310" s="25">
        <f>(N310/60)*VLOOKUP(C310,Employees!A:J,10,0)*1.5</f>
        <v>52.932098765432087</v>
      </c>
      <c r="P310" s="23">
        <f>IF(G310="غياب",VLOOKUP(C310,Employees!$A$3:$J$36,9,FALSE()),0)</f>
        <v>0</v>
      </c>
    </row>
    <row r="311" spans="1:16" ht="15" customHeight="1">
      <c r="A311" s="17" t="s">
        <v>84</v>
      </c>
      <c r="B311" s="19" t="s">
        <v>68</v>
      </c>
      <c r="C311" s="19" t="s">
        <v>23</v>
      </c>
      <c r="D311" s="19" t="str">
        <f>VLOOKUP(C311,Employees!A:J,2,0)</f>
        <v>ابراهيم خليفة</v>
      </c>
      <c r="E311" s="20">
        <v>0.375</v>
      </c>
      <c r="F311" s="20">
        <v>0.875</v>
      </c>
      <c r="G311" s="21" t="s">
        <v>69</v>
      </c>
      <c r="H311" s="20">
        <f t="shared" si="161"/>
        <v>0.375</v>
      </c>
      <c r="I311" s="30">
        <v>0.89166666666666672</v>
      </c>
      <c r="J311" s="22">
        <f t="shared" si="162"/>
        <v>0</v>
      </c>
      <c r="K311" s="47">
        <f>(J311/60)*VLOOKUP(C311,Employees!A:J,10,0)*1.5</f>
        <v>0</v>
      </c>
      <c r="L311" s="22">
        <f t="shared" si="163"/>
        <v>0</v>
      </c>
      <c r="M311" s="23">
        <f>(L311/60)*VLOOKUP(C311,Employees!A:J,10,0)*2</f>
        <v>0</v>
      </c>
      <c r="N311" s="24">
        <f t="shared" si="164"/>
        <v>0</v>
      </c>
      <c r="O311" s="25">
        <f>(N311/60)*VLOOKUP(C311,Employees!A:J,10,0)*1.5</f>
        <v>0</v>
      </c>
      <c r="P311" s="23">
        <f>IF(G311="غياب",VLOOKUP(C311,Employees!$A$3:$J$36,9,FALSE()),0)</f>
        <v>0</v>
      </c>
    </row>
    <row r="312" spans="1:16" ht="15" customHeight="1">
      <c r="A312" s="17" t="s">
        <v>85</v>
      </c>
      <c r="B312" s="19" t="s">
        <v>71</v>
      </c>
      <c r="C312" s="19" t="s">
        <v>23</v>
      </c>
      <c r="D312" s="19" t="str">
        <f>VLOOKUP(C312,Employees!A:J,2,0)</f>
        <v>ابراهيم خليفة</v>
      </c>
      <c r="E312" s="20">
        <v>0.375</v>
      </c>
      <c r="F312" s="20">
        <v>0.875</v>
      </c>
      <c r="G312" s="21" t="s">
        <v>69</v>
      </c>
      <c r="H312" s="20">
        <f t="shared" si="161"/>
        <v>0.375</v>
      </c>
      <c r="I312" s="30">
        <v>0.91180555555555554</v>
      </c>
      <c r="J312" s="22">
        <f t="shared" si="162"/>
        <v>0</v>
      </c>
      <c r="K312" s="47">
        <f>(J312/60)*VLOOKUP(C312,Employees!A:J,10,0)*1.5</f>
        <v>0</v>
      </c>
      <c r="L312" s="22">
        <f t="shared" si="163"/>
        <v>0</v>
      </c>
      <c r="M312" s="23">
        <f>(L312/60)*VLOOKUP(C312,Employees!A:J,10,0)*2</f>
        <v>0</v>
      </c>
      <c r="N312" s="24">
        <f t="shared" si="164"/>
        <v>52.999999999999972</v>
      </c>
      <c r="O312" s="25">
        <f>(N312/60)*VLOOKUP(C312,Employees!A:J,10,0)*1.5</f>
        <v>28.626543209876523</v>
      </c>
      <c r="P312" s="23">
        <f>IF(G312="غياب",VLOOKUP(C312,Employees!$A$3:$J$36,9,FALSE()),0)</f>
        <v>0</v>
      </c>
    </row>
    <row r="313" spans="1:16" ht="15" customHeight="1">
      <c r="A313" s="17" t="s">
        <v>86</v>
      </c>
      <c r="B313" s="19" t="s">
        <v>73</v>
      </c>
      <c r="C313" s="19" t="s">
        <v>23</v>
      </c>
      <c r="D313" s="19" t="str">
        <f>VLOOKUP(C313,Employees!A:J,2,0)</f>
        <v>ابراهيم خليفة</v>
      </c>
      <c r="E313" s="20">
        <v>0.375</v>
      </c>
      <c r="F313" s="20">
        <v>0.875</v>
      </c>
      <c r="G313" s="21" t="s">
        <v>69</v>
      </c>
      <c r="H313" s="20">
        <f t="shared" si="161"/>
        <v>0.375</v>
      </c>
      <c r="I313" s="30">
        <v>0.95277777777777772</v>
      </c>
      <c r="J313" s="22">
        <f t="shared" si="162"/>
        <v>0</v>
      </c>
      <c r="K313" s="47">
        <f>(J313/60)*VLOOKUP(C313,Employees!A:J,10,0)*1.5</f>
        <v>0</v>
      </c>
      <c r="L313" s="22">
        <f t="shared" si="163"/>
        <v>0</v>
      </c>
      <c r="M313" s="23">
        <f>(L313/60)*VLOOKUP(C313,Employees!A:J,10,0)*2</f>
        <v>0</v>
      </c>
      <c r="N313" s="24">
        <f t="shared" si="164"/>
        <v>111.99999999999991</v>
      </c>
      <c r="O313" s="25">
        <f>(N313/60)*VLOOKUP(C313,Employees!A:J,10,0)*1.5</f>
        <v>60.493827160493765</v>
      </c>
      <c r="P313" s="23">
        <f>IF(G313="غياب",VLOOKUP(C313,Employees!$A$3:$J$36,9,FALSE()),0)</f>
        <v>0</v>
      </c>
    </row>
    <row r="314" spans="1:16" ht="15" customHeight="1">
      <c r="A314" s="17" t="s">
        <v>87</v>
      </c>
      <c r="B314" s="19" t="s">
        <v>75</v>
      </c>
      <c r="C314" s="19" t="s">
        <v>23</v>
      </c>
      <c r="D314" s="19" t="str">
        <f>VLOOKUP(C314,Employees!A:J,2,0)</f>
        <v>ابراهيم خليفة</v>
      </c>
      <c r="E314" s="20">
        <v>0.41666666666666702</v>
      </c>
      <c r="F314" s="20">
        <v>0.91666666666666696</v>
      </c>
      <c r="G314" s="21" t="s">
        <v>69</v>
      </c>
      <c r="H314" s="20">
        <f t="shared" si="161"/>
        <v>0.41666666666666702</v>
      </c>
      <c r="I314" s="30">
        <v>0.92638888888888893</v>
      </c>
      <c r="J314" s="22">
        <f t="shared" si="162"/>
        <v>0</v>
      </c>
      <c r="K314" s="47">
        <f>(J314/60)*VLOOKUP(C314,Employees!A:J,10,0)*1.5</f>
        <v>0</v>
      </c>
      <c r="L314" s="22">
        <f t="shared" si="163"/>
        <v>0</v>
      </c>
      <c r="M314" s="23">
        <f>(L314/60)*VLOOKUP(C314,Employees!A:J,10,0)*2</f>
        <v>0</v>
      </c>
      <c r="N314" s="24">
        <f t="shared" si="164"/>
        <v>0</v>
      </c>
      <c r="O314" s="25">
        <f>(N314/60)*VLOOKUP(C314,Employees!A:J,10,0)*1.5</f>
        <v>0</v>
      </c>
      <c r="P314" s="23">
        <f>IF(G314="غياب",VLOOKUP(C314,Employees!$A$3:$J$36,9,FALSE()),0)</f>
        <v>0</v>
      </c>
    </row>
    <row r="315" spans="1:16" ht="15" customHeight="1">
      <c r="A315" s="26" t="s">
        <v>88</v>
      </c>
      <c r="B315" s="28" t="s">
        <v>77</v>
      </c>
      <c r="C315" s="28" t="s">
        <v>23</v>
      </c>
      <c r="D315" s="28" t="str">
        <f>VLOOKUP(C315,Employees!A:J,2,0)</f>
        <v>ابراهيم خليفة</v>
      </c>
      <c r="E315" s="29" t="s">
        <v>78</v>
      </c>
      <c r="F315" s="29" t="s">
        <v>78</v>
      </c>
      <c r="G315" s="27" t="s">
        <v>79</v>
      </c>
      <c r="H315" s="29" t="s">
        <v>78</v>
      </c>
      <c r="I315" s="29" t="s">
        <v>78</v>
      </c>
      <c r="J315" s="22" t="s">
        <v>78</v>
      </c>
      <c r="K315" s="47" t="s">
        <v>78</v>
      </c>
      <c r="L315" s="22" t="s">
        <v>78</v>
      </c>
      <c r="M315" s="23" t="s">
        <v>78</v>
      </c>
      <c r="N315" s="24" t="s">
        <v>78</v>
      </c>
      <c r="O315" s="24" t="s">
        <v>78</v>
      </c>
      <c r="P315" s="23">
        <f>IF(G315="غياب",VLOOKUP(C315,Employees!$A$3:$J$36,9,FALSE()),0)</f>
        <v>0</v>
      </c>
    </row>
    <row r="316" spans="1:16" ht="15" customHeight="1">
      <c r="A316" s="26" t="s">
        <v>89</v>
      </c>
      <c r="B316" s="28" t="s">
        <v>81</v>
      </c>
      <c r="C316" s="28" t="s">
        <v>23</v>
      </c>
      <c r="D316" s="28" t="str">
        <f>VLOOKUP(C316,Employees!A:J,2,0)</f>
        <v>ابراهيم خليفة</v>
      </c>
      <c r="E316" s="29" t="s">
        <v>78</v>
      </c>
      <c r="F316" s="29" t="s">
        <v>78</v>
      </c>
      <c r="G316" s="27" t="s">
        <v>79</v>
      </c>
      <c r="H316" s="29" t="s">
        <v>78</v>
      </c>
      <c r="I316" s="29" t="s">
        <v>78</v>
      </c>
      <c r="J316" s="22" t="s">
        <v>78</v>
      </c>
      <c r="K316" s="47" t="s">
        <v>78</v>
      </c>
      <c r="L316" s="22" t="s">
        <v>78</v>
      </c>
      <c r="M316" s="23" t="s">
        <v>78</v>
      </c>
      <c r="N316" s="24" t="s">
        <v>78</v>
      </c>
      <c r="O316" s="24" t="s">
        <v>78</v>
      </c>
      <c r="P316" s="23">
        <f>IF(G316="غياب",VLOOKUP(C316,Employees!$A$3:$J$36,9,FALSE()),0)</f>
        <v>0</v>
      </c>
    </row>
    <row r="317" spans="1:16" ht="15" customHeight="1">
      <c r="A317" s="17" t="s">
        <v>90</v>
      </c>
      <c r="B317" s="19" t="s">
        <v>83</v>
      </c>
      <c r="C317" s="19" t="s">
        <v>23</v>
      </c>
      <c r="D317" s="19" t="str">
        <f>VLOOKUP(C317,Employees!A:J,2,0)</f>
        <v>ابراهيم خليفة</v>
      </c>
      <c r="E317" s="20">
        <v>0.41666666666666702</v>
      </c>
      <c r="F317" s="20">
        <v>0.91666666666666696</v>
      </c>
      <c r="G317" s="21" t="s">
        <v>69</v>
      </c>
      <c r="H317" s="20">
        <f t="shared" ref="H317:H321" si="165">E317</f>
        <v>0.41666666666666702</v>
      </c>
      <c r="I317" s="20">
        <v>0.93611111111111112</v>
      </c>
      <c r="J317" s="22">
        <f t="shared" ref="J317:J321" si="166">IF(OR(H317="",G317="غياب",G317="إجازة أسبوعية"),0,
IF(H317&gt;=E317-TIME(0,20,0),0,
IF(H317&gt;=E317-TIME(0,30,0),30,(E317-H317)*1440)))</f>
        <v>0</v>
      </c>
      <c r="K317" s="47">
        <f>(J317/60)*VLOOKUP(C317,Employees!A:J,10,0)*1.5</f>
        <v>0</v>
      </c>
      <c r="L317" s="22">
        <f t="shared" ref="L317:L321" si="167">IF(OR(H317="",G317="غياب",G317="إجازة أسبوعية"),0,
IF(H317&lt;=E317+TIME(0,30,0),0,
30+((H317-(E317+TIME(0,30,0)))*1440)))</f>
        <v>0</v>
      </c>
      <c r="M317" s="23">
        <f>(L317/60)*VLOOKUP(C317,Employees!A:J,10,0)*2</f>
        <v>0</v>
      </c>
      <c r="N317" s="24">
        <f t="shared" ref="N317:N321" si="168">IF(OR(I317="",G317="غياب",G317="إجازة أسبوعية",I317&lt;=F317),0,
IF(MOD(I317-F317,1)&lt;=TIME(0,25,0),0,MAX(0,(I317-F317)*1440)))</f>
        <v>27.999999999999581</v>
      </c>
      <c r="O317" s="25">
        <f>(N317/60)*VLOOKUP(C317,Employees!A:J,10,0)*1.5</f>
        <v>15.123456790123228</v>
      </c>
      <c r="P317" s="23">
        <f>IF(G317="غياب",VLOOKUP(C317,Employees!$A$3:$J$36,9,FALSE()),0)</f>
        <v>0</v>
      </c>
    </row>
    <row r="318" spans="1:16" ht="15" customHeight="1">
      <c r="A318" s="17" t="s">
        <v>91</v>
      </c>
      <c r="B318" s="19" t="s">
        <v>68</v>
      </c>
      <c r="C318" s="19" t="s">
        <v>23</v>
      </c>
      <c r="D318" s="19" t="str">
        <f>VLOOKUP(C318,Employees!A:J,2,0)</f>
        <v>ابراهيم خليفة</v>
      </c>
      <c r="E318" s="20">
        <v>0.41666666666666702</v>
      </c>
      <c r="F318" s="20">
        <v>0.91666666666666696</v>
      </c>
      <c r="G318" s="21" t="s">
        <v>69</v>
      </c>
      <c r="H318" s="20">
        <f t="shared" si="165"/>
        <v>0.41666666666666702</v>
      </c>
      <c r="I318" s="20">
        <v>0.94444444444444442</v>
      </c>
      <c r="J318" s="22">
        <f t="shared" si="166"/>
        <v>0</v>
      </c>
      <c r="K318" s="47">
        <f>(J318/60)*VLOOKUP(C318,Employees!A:J,10,0)*1.5</f>
        <v>0</v>
      </c>
      <c r="L318" s="22">
        <f t="shared" si="167"/>
        <v>0</v>
      </c>
      <c r="M318" s="23">
        <f>(L318/60)*VLOOKUP(C318,Employees!A:J,10,0)*2</f>
        <v>0</v>
      </c>
      <c r="N318" s="24">
        <f t="shared" si="168"/>
        <v>39.999999999999538</v>
      </c>
      <c r="O318" s="25">
        <f>(N318/60)*VLOOKUP(C318,Employees!A:J,10,0)*1.5</f>
        <v>21.604938271604688</v>
      </c>
      <c r="P318" s="23">
        <f>IF(G318="غياب",VLOOKUP(C318,Employees!$A$3:$J$36,9,FALSE()),0)</f>
        <v>0</v>
      </c>
    </row>
    <row r="319" spans="1:16" ht="15" customHeight="1">
      <c r="A319" s="17" t="s">
        <v>92</v>
      </c>
      <c r="B319" s="19" t="s">
        <v>71</v>
      </c>
      <c r="C319" s="19" t="s">
        <v>23</v>
      </c>
      <c r="D319" s="19" t="str">
        <f>VLOOKUP(C319,Employees!A:J,2,0)</f>
        <v>ابراهيم خليفة</v>
      </c>
      <c r="E319" s="20">
        <v>0.41666666666666702</v>
      </c>
      <c r="F319" s="20">
        <v>0.91666666666666696</v>
      </c>
      <c r="G319" s="21" t="s">
        <v>69</v>
      </c>
      <c r="H319" s="20">
        <f t="shared" si="165"/>
        <v>0.41666666666666702</v>
      </c>
      <c r="I319" s="20">
        <v>0.95347222222222228</v>
      </c>
      <c r="J319" s="22">
        <f t="shared" si="166"/>
        <v>0</v>
      </c>
      <c r="K319" s="47">
        <f>(J319/60)*VLOOKUP(C319,Employees!A:J,10,0)*1.5</f>
        <v>0</v>
      </c>
      <c r="L319" s="22">
        <f t="shared" si="167"/>
        <v>0</v>
      </c>
      <c r="M319" s="23">
        <f>(L319/60)*VLOOKUP(C319,Employees!A:J,10,0)*2</f>
        <v>0</v>
      </c>
      <c r="N319" s="24">
        <f t="shared" si="168"/>
        <v>52.999999999999652</v>
      </c>
      <c r="O319" s="25">
        <f>(N319/60)*VLOOKUP(C319,Employees!A:J,10,0)*1.5</f>
        <v>28.626543209876353</v>
      </c>
      <c r="P319" s="23">
        <f>IF(G319="غياب",VLOOKUP(C319,Employees!$A$3:$J$36,9,FALSE()),0)</f>
        <v>0</v>
      </c>
    </row>
    <row r="320" spans="1:16" ht="15" customHeight="1">
      <c r="A320" s="17" t="s">
        <v>93</v>
      </c>
      <c r="B320" s="19" t="s">
        <v>73</v>
      </c>
      <c r="C320" s="19" t="s">
        <v>23</v>
      </c>
      <c r="D320" s="19" t="str">
        <f>VLOOKUP(C320,Employees!A:J,2,0)</f>
        <v>ابراهيم خليفة</v>
      </c>
      <c r="E320" s="20">
        <v>0.41666666666666702</v>
      </c>
      <c r="F320" s="20">
        <v>0.91666666666666696</v>
      </c>
      <c r="G320" s="21" t="s">
        <v>69</v>
      </c>
      <c r="H320" s="20">
        <f t="shared" si="165"/>
        <v>0.41666666666666702</v>
      </c>
      <c r="I320" s="20">
        <v>0.96388888888888891</v>
      </c>
      <c r="J320" s="22">
        <f t="shared" si="166"/>
        <v>0</v>
      </c>
      <c r="K320" s="47">
        <f>(J320/60)*VLOOKUP(C320,Employees!A:J,10,0)*1.5</f>
        <v>0</v>
      </c>
      <c r="L320" s="22">
        <f t="shared" si="167"/>
        <v>0</v>
      </c>
      <c r="M320" s="23">
        <f>(L320/60)*VLOOKUP(C320,Employees!A:J,10,0)*2</f>
        <v>0</v>
      </c>
      <c r="N320" s="24">
        <f t="shared" si="168"/>
        <v>67.999999999999602</v>
      </c>
      <c r="O320" s="25">
        <f>(N320/60)*VLOOKUP(C320,Employees!A:J,10,0)*1.5</f>
        <v>36.728395061728172</v>
      </c>
      <c r="P320" s="23">
        <f>IF(G320="غياب",VLOOKUP(C320,Employees!$A$3:$J$36,9,FALSE()),0)</f>
        <v>0</v>
      </c>
    </row>
    <row r="321" spans="1:16" ht="15" customHeight="1">
      <c r="A321" s="17" t="s">
        <v>94</v>
      </c>
      <c r="B321" s="19" t="s">
        <v>75</v>
      </c>
      <c r="C321" s="19" t="s">
        <v>23</v>
      </c>
      <c r="D321" s="19" t="str">
        <f>VLOOKUP(C321,Employees!A:J,2,0)</f>
        <v>ابراهيم خليفة</v>
      </c>
      <c r="E321" s="20">
        <v>0.41666666666666702</v>
      </c>
      <c r="F321" s="20">
        <v>0.91666666666666696</v>
      </c>
      <c r="G321" s="21" t="s">
        <v>69</v>
      </c>
      <c r="H321" s="20">
        <f t="shared" si="165"/>
        <v>0.41666666666666702</v>
      </c>
      <c r="I321" s="20">
        <v>1.0173611111111112</v>
      </c>
      <c r="J321" s="22">
        <f t="shared" si="166"/>
        <v>0</v>
      </c>
      <c r="K321" s="47">
        <f>(J321/60)*VLOOKUP(C321,Employees!A:J,10,0)*1.5</f>
        <v>0</v>
      </c>
      <c r="L321" s="22">
        <f t="shared" si="167"/>
        <v>0</v>
      </c>
      <c r="M321" s="23">
        <f>(L321/60)*VLOOKUP(C321,Employees!A:J,10,0)*2</f>
        <v>0</v>
      </c>
      <c r="N321" s="24">
        <f t="shared" si="168"/>
        <v>144.99999999999966</v>
      </c>
      <c r="O321" s="25">
        <f>(N321/60)*VLOOKUP(C321,Employees!A:J,10,0)*1.5</f>
        <v>78.317901234567714</v>
      </c>
      <c r="P321" s="23">
        <f>IF(G321="غياب",VLOOKUP(C321,Employees!$A$3:$J$36,9,FALSE()),0)</f>
        <v>0</v>
      </c>
    </row>
    <row r="322" spans="1:16" ht="15" customHeight="1">
      <c r="A322" s="26" t="s">
        <v>95</v>
      </c>
      <c r="B322" s="28" t="s">
        <v>77</v>
      </c>
      <c r="C322" s="28" t="s">
        <v>23</v>
      </c>
      <c r="D322" s="28" t="str">
        <f>VLOOKUP(C322,Employees!A:J,2,0)</f>
        <v>ابراهيم خليفة</v>
      </c>
      <c r="E322" s="29" t="s">
        <v>78</v>
      </c>
      <c r="F322" s="29" t="s">
        <v>78</v>
      </c>
      <c r="G322" s="27" t="s">
        <v>79</v>
      </c>
      <c r="H322" s="29" t="s">
        <v>78</v>
      </c>
      <c r="I322" s="29" t="s">
        <v>78</v>
      </c>
      <c r="J322" s="22" t="s">
        <v>78</v>
      </c>
      <c r="K322" s="47" t="s">
        <v>78</v>
      </c>
      <c r="L322" s="22" t="s">
        <v>78</v>
      </c>
      <c r="M322" s="23" t="s">
        <v>78</v>
      </c>
      <c r="N322" s="24" t="s">
        <v>78</v>
      </c>
      <c r="O322" s="24" t="s">
        <v>78</v>
      </c>
      <c r="P322" s="23">
        <f>IF(G322="غياب",VLOOKUP(C322,Employees!$A$3:$J$36,9,FALSE()),0)</f>
        <v>0</v>
      </c>
    </row>
    <row r="323" spans="1:16" ht="15" customHeight="1">
      <c r="A323" s="17" t="s">
        <v>96</v>
      </c>
      <c r="B323" s="19" t="s">
        <v>81</v>
      </c>
      <c r="C323" s="19" t="s">
        <v>23</v>
      </c>
      <c r="D323" s="19" t="str">
        <f>VLOOKUP(C323,Employees!A:J,2,0)</f>
        <v>ابراهيم خليفة</v>
      </c>
      <c r="E323" s="20">
        <v>0.41666666666666702</v>
      </c>
      <c r="F323" s="20">
        <v>0.91666666666666696</v>
      </c>
      <c r="G323" s="21" t="s">
        <v>69</v>
      </c>
      <c r="H323" s="20">
        <f t="shared" ref="H323:H328" si="169">E323</f>
        <v>0.41666666666666702</v>
      </c>
      <c r="I323" s="20">
        <v>0.96875</v>
      </c>
      <c r="J323" s="22">
        <f t="shared" ref="J323:J328" si="170">IF(OR(H323="",G323="غياب",G323="إجازة أسبوعية"),0,
IF(H323&gt;=E323-TIME(0,20,0),0,
IF(H323&gt;=E323-TIME(0,30,0),30,(E323-H323)*1440)))</f>
        <v>0</v>
      </c>
      <c r="K323" s="47">
        <f>(J323/60)*VLOOKUP(C323,Employees!A:J,10,0)*1.5</f>
        <v>0</v>
      </c>
      <c r="L323" s="22">
        <f t="shared" ref="L323:L328" si="171">IF(OR(H323="",G323="غياب",G323="إجازة أسبوعية"),0,
IF(H323&lt;=E323+TIME(0,30,0),0,
30+((H323-(E323+TIME(0,30,0)))*1440)))</f>
        <v>0</v>
      </c>
      <c r="M323" s="23">
        <f>(L323/60)*VLOOKUP(C323,Employees!A:J,10,0)*2</f>
        <v>0</v>
      </c>
      <c r="N323" s="24">
        <f t="shared" ref="N323:N328" si="172">IF(OR(I323="",G323="غياب",G323="إجازة أسبوعية",I323&lt;=F323),0,
IF(MOD(I323-F323,1)&lt;=TIME(0,25,0),0,MAX(0,(I323-F323)*1440)))</f>
        <v>74.999999999999574</v>
      </c>
      <c r="O323" s="25">
        <f>(N323/60)*VLOOKUP(C323,Employees!A:J,10,0)*1.5</f>
        <v>40.509259259259025</v>
      </c>
      <c r="P323" s="23">
        <f>IF(G323="غياب",VLOOKUP(C323,Employees!$A$3:$J$36,9,FALSE()),0)</f>
        <v>0</v>
      </c>
    </row>
    <row r="324" spans="1:16" ht="15" customHeight="1">
      <c r="A324" s="17" t="s">
        <v>97</v>
      </c>
      <c r="B324" s="19" t="s">
        <v>83</v>
      </c>
      <c r="C324" s="19" t="s">
        <v>23</v>
      </c>
      <c r="D324" s="19" t="str">
        <f>VLOOKUP(C324,Employees!A:J,2,0)</f>
        <v>ابراهيم خليفة</v>
      </c>
      <c r="E324" s="20">
        <v>0.41666666666666702</v>
      </c>
      <c r="F324" s="20">
        <v>0.91666666666666696</v>
      </c>
      <c r="G324" s="21" t="s">
        <v>69</v>
      </c>
      <c r="H324" s="20">
        <f t="shared" si="169"/>
        <v>0.41666666666666702</v>
      </c>
      <c r="I324" s="20">
        <v>0.97847222222222219</v>
      </c>
      <c r="J324" s="22">
        <f t="shared" si="170"/>
        <v>0</v>
      </c>
      <c r="K324" s="47">
        <f>(J324/60)*VLOOKUP(C324,Employees!A:J,10,0)*1.5</f>
        <v>0</v>
      </c>
      <c r="L324" s="22">
        <f t="shared" si="171"/>
        <v>0</v>
      </c>
      <c r="M324" s="23">
        <f>(L324/60)*VLOOKUP(C324,Employees!A:J,10,0)*2</f>
        <v>0</v>
      </c>
      <c r="N324" s="24">
        <f t="shared" si="172"/>
        <v>88.999999999999517</v>
      </c>
      <c r="O324" s="25">
        <f>(N324/60)*VLOOKUP(C324,Employees!A:J,10,0)*1.5</f>
        <v>48.070987654320717</v>
      </c>
      <c r="P324" s="23">
        <f>IF(G324="غياب",VLOOKUP(C324,Employees!$A$3:$J$36,9,FALSE()),0)</f>
        <v>0</v>
      </c>
    </row>
    <row r="325" spans="1:16" ht="15" customHeight="1">
      <c r="A325" s="17" t="s">
        <v>98</v>
      </c>
      <c r="B325" s="19" t="s">
        <v>68</v>
      </c>
      <c r="C325" s="19" t="s">
        <v>23</v>
      </c>
      <c r="D325" s="19" t="str">
        <f>VLOOKUP(C325,Employees!A:J,2,0)</f>
        <v>ابراهيم خليفة</v>
      </c>
      <c r="E325" s="20">
        <v>0.41666666666666702</v>
      </c>
      <c r="F325" s="20">
        <v>0.91666666666666696</v>
      </c>
      <c r="G325" s="21" t="s">
        <v>69</v>
      </c>
      <c r="H325" s="20">
        <f t="shared" si="169"/>
        <v>0.41666666666666702</v>
      </c>
      <c r="I325" s="20">
        <v>0.98472222222222228</v>
      </c>
      <c r="J325" s="22">
        <f t="shared" si="170"/>
        <v>0</v>
      </c>
      <c r="K325" s="47">
        <f>(J325/60)*VLOOKUP(C325,Employees!A:J,10,0)*1.5</f>
        <v>0</v>
      </c>
      <c r="L325" s="22">
        <f t="shared" si="171"/>
        <v>0</v>
      </c>
      <c r="M325" s="23">
        <f>(L325/60)*VLOOKUP(C325,Employees!A:J,10,0)*2</f>
        <v>0</v>
      </c>
      <c r="N325" s="24">
        <f t="shared" si="172"/>
        <v>97.999999999999659</v>
      </c>
      <c r="O325" s="25">
        <f>(N325/60)*VLOOKUP(C325,Employees!A:J,10,0)*1.5</f>
        <v>52.932098765431917</v>
      </c>
      <c r="P325" s="23">
        <f>IF(G325="غياب",VLOOKUP(C325,Employees!$A$3:$J$36,9,FALSE()),0)</f>
        <v>0</v>
      </c>
    </row>
    <row r="326" spans="1:16" ht="15" customHeight="1">
      <c r="A326" s="17" t="s">
        <v>99</v>
      </c>
      <c r="B326" s="19" t="s">
        <v>71</v>
      </c>
      <c r="C326" s="19" t="s">
        <v>23</v>
      </c>
      <c r="D326" s="19" t="str">
        <f>VLOOKUP(C326,Employees!A:J,2,0)</f>
        <v>ابراهيم خليفة</v>
      </c>
      <c r="E326" s="20">
        <v>0.41666666666666702</v>
      </c>
      <c r="F326" s="20">
        <v>0.91666666666666696</v>
      </c>
      <c r="G326" s="21" t="s">
        <v>69</v>
      </c>
      <c r="H326" s="20">
        <f t="shared" si="169"/>
        <v>0.41666666666666702</v>
      </c>
      <c r="I326" s="20">
        <v>0.96458333333333335</v>
      </c>
      <c r="J326" s="22">
        <f t="shared" si="170"/>
        <v>0</v>
      </c>
      <c r="K326" s="47">
        <f>(J326/60)*VLOOKUP(C326,Employees!A:J,10,0)*1.5</f>
        <v>0</v>
      </c>
      <c r="L326" s="22">
        <f t="shared" si="171"/>
        <v>0</v>
      </c>
      <c r="M326" s="23">
        <f>(L326/60)*VLOOKUP(C326,Employees!A:J,10,0)*2</f>
        <v>0</v>
      </c>
      <c r="N326" s="24">
        <f t="shared" si="172"/>
        <v>68.999999999999602</v>
      </c>
      <c r="O326" s="25">
        <f>(N326/60)*VLOOKUP(C326,Employees!A:J,10,0)*1.5</f>
        <v>37.268518518518306</v>
      </c>
      <c r="P326" s="23">
        <f>IF(G326="غياب",VLOOKUP(C326,Employees!$A$3:$J$36,9,FALSE()),0)</f>
        <v>0</v>
      </c>
    </row>
    <row r="327" spans="1:16" ht="15" customHeight="1">
      <c r="A327" s="17" t="s">
        <v>100</v>
      </c>
      <c r="B327" s="19" t="s">
        <v>73</v>
      </c>
      <c r="C327" s="19" t="s">
        <v>23</v>
      </c>
      <c r="D327" s="19" t="str">
        <f>VLOOKUP(C327,Employees!A:J,2,0)</f>
        <v>ابراهيم خليفة</v>
      </c>
      <c r="E327" s="20">
        <v>0.375</v>
      </c>
      <c r="F327" s="20">
        <v>0.875</v>
      </c>
      <c r="G327" s="21" t="s">
        <v>69</v>
      </c>
      <c r="H327" s="20">
        <f t="shared" si="169"/>
        <v>0.375</v>
      </c>
      <c r="I327" s="20">
        <v>0.92083333333333328</v>
      </c>
      <c r="J327" s="22">
        <f t="shared" si="170"/>
        <v>0</v>
      </c>
      <c r="K327" s="47">
        <f>(J327/60)*VLOOKUP(C327,Employees!A:J,10,0)*1.5</f>
        <v>0</v>
      </c>
      <c r="L327" s="22">
        <f t="shared" si="171"/>
        <v>0</v>
      </c>
      <c r="M327" s="23">
        <f>(L327/60)*VLOOKUP(C327,Employees!A:J,10,0)*2</f>
        <v>0</v>
      </c>
      <c r="N327" s="24">
        <f t="shared" si="172"/>
        <v>65.999999999999929</v>
      </c>
      <c r="O327" s="25">
        <f>(N327/60)*VLOOKUP(C327,Employees!A:J,10,0)*1.5</f>
        <v>35.648148148148103</v>
      </c>
      <c r="P327" s="23">
        <f>IF(G327="غياب",VLOOKUP(C327,Employees!$A$3:$J$36,9,FALSE()),0)</f>
        <v>0</v>
      </c>
    </row>
    <row r="328" spans="1:16" ht="15" customHeight="1">
      <c r="A328" s="17" t="s">
        <v>101</v>
      </c>
      <c r="B328" s="19" t="s">
        <v>75</v>
      </c>
      <c r="C328" s="19" t="s">
        <v>23</v>
      </c>
      <c r="D328" s="19" t="str">
        <f>VLOOKUP(C328,Employees!A:J,2,0)</f>
        <v>ابراهيم خليفة</v>
      </c>
      <c r="E328" s="20">
        <v>0.375</v>
      </c>
      <c r="F328" s="20">
        <v>0.875</v>
      </c>
      <c r="G328" s="21" t="s">
        <v>69</v>
      </c>
      <c r="H328" s="20">
        <f t="shared" si="169"/>
        <v>0.375</v>
      </c>
      <c r="I328" s="20">
        <v>0.93263888888888891</v>
      </c>
      <c r="J328" s="22">
        <f t="shared" si="170"/>
        <v>0</v>
      </c>
      <c r="K328" s="47">
        <f>(J328/60)*VLOOKUP(C328,Employees!A:J,10,0)*1.5</f>
        <v>0</v>
      </c>
      <c r="L328" s="22">
        <f t="shared" si="171"/>
        <v>0</v>
      </c>
      <c r="M328" s="23">
        <f>(L328/60)*VLOOKUP(C328,Employees!A:J,10,0)*2</f>
        <v>0</v>
      </c>
      <c r="N328" s="24">
        <f t="shared" si="172"/>
        <v>83.000000000000028</v>
      </c>
      <c r="O328" s="25">
        <f>(N328/60)*VLOOKUP(C328,Employees!A:J,10,0)*1.5</f>
        <v>44.830246913580261</v>
      </c>
      <c r="P328" s="23">
        <f>IF(G328="غياب",VLOOKUP(C328,Employees!$A$3:$J$36,9,FALSE()),0)</f>
        <v>0</v>
      </c>
    </row>
    <row r="329" spans="1:16" ht="15" customHeight="1">
      <c r="A329" s="26" t="s">
        <v>102</v>
      </c>
      <c r="B329" s="28" t="s">
        <v>77</v>
      </c>
      <c r="C329" s="28" t="s">
        <v>23</v>
      </c>
      <c r="D329" s="28" t="str">
        <f>VLOOKUP(C329,Employees!A:J,2,0)</f>
        <v>ابراهيم خليفة</v>
      </c>
      <c r="E329" s="29" t="s">
        <v>78</v>
      </c>
      <c r="F329" s="29" t="s">
        <v>78</v>
      </c>
      <c r="G329" s="27" t="s">
        <v>79</v>
      </c>
      <c r="H329" s="29" t="s">
        <v>78</v>
      </c>
      <c r="I329" s="29" t="s">
        <v>78</v>
      </c>
      <c r="J329" s="22" t="s">
        <v>78</v>
      </c>
      <c r="K329" s="47" t="s">
        <v>78</v>
      </c>
      <c r="L329" s="22" t="s">
        <v>78</v>
      </c>
      <c r="M329" s="23" t="s">
        <v>78</v>
      </c>
      <c r="N329" s="24" t="s">
        <v>78</v>
      </c>
      <c r="O329" s="24" t="s">
        <v>78</v>
      </c>
      <c r="P329" s="23">
        <f>IF(G329="غياب",VLOOKUP(C329,Employees!$A$3:$J$36,9,FALSE()),0)</f>
        <v>0</v>
      </c>
    </row>
    <row r="330" spans="1:16" ht="15" customHeight="1">
      <c r="A330" s="17" t="s">
        <v>103</v>
      </c>
      <c r="B330" s="19" t="s">
        <v>81</v>
      </c>
      <c r="C330" s="19" t="s">
        <v>23</v>
      </c>
      <c r="D330" s="19" t="str">
        <f>VLOOKUP(C330,Employees!A:J,2,0)</f>
        <v>ابراهيم خليفة</v>
      </c>
      <c r="E330" s="20">
        <v>0.375</v>
      </c>
      <c r="F330" s="20">
        <v>0.875</v>
      </c>
      <c r="G330" s="21" t="s">
        <v>69</v>
      </c>
      <c r="H330" s="20">
        <f t="shared" ref="H330:H333" si="173">E330</f>
        <v>0.375</v>
      </c>
      <c r="I330" s="20">
        <v>0.9291666666666667</v>
      </c>
      <c r="J330" s="22">
        <f t="shared" ref="J330:J337" si="174">IF(OR(H330="",G330="غياب",G330="إجازة أسبوعية"),0,
IF(H330&gt;=E330-TIME(0,20,0),0,
IF(H330&gt;=E330-TIME(0,30,0),30,(E330-H330)*1440)))</f>
        <v>0</v>
      </c>
      <c r="K330" s="47">
        <f>(J330/60)*VLOOKUP(C330,Employees!A:J,10,0)*1.5</f>
        <v>0</v>
      </c>
      <c r="L330" s="22">
        <f t="shared" ref="L330:L337" si="175">IF(OR(H330="",G330="غياب",G330="إجازة أسبوعية"),0,
IF(H330&lt;=E330+TIME(0,30,0),0,
30+((H330-(E330+TIME(0,30,0)))*1440)))</f>
        <v>0</v>
      </c>
      <c r="M330" s="23">
        <f>(L330/60)*VLOOKUP(C330,Employees!A:J,10,0)*2</f>
        <v>0</v>
      </c>
      <c r="N330" s="24">
        <f t="shared" ref="N330:N337" si="176">IF(OR(I330="",G330="غياب",G330="إجازة أسبوعية",I330&lt;=F330),0,
IF(MOD(I330-F330,1)&lt;=TIME(0,25,0),0,MAX(0,(I330-F330)*1440)))</f>
        <v>78.000000000000043</v>
      </c>
      <c r="O330" s="25">
        <f>(N330/60)*VLOOKUP(C330,Employees!A:J,10,0)*1.5</f>
        <v>42.129629629629648</v>
      </c>
      <c r="P330" s="23">
        <f>IF(G330="غياب",VLOOKUP(C330,Employees!$A$3:$J$36,9,FALSE()),0)</f>
        <v>0</v>
      </c>
    </row>
    <row r="331" spans="1:16" ht="15" customHeight="1">
      <c r="A331" s="17" t="s">
        <v>104</v>
      </c>
      <c r="B331" s="19" t="s">
        <v>83</v>
      </c>
      <c r="C331" s="19" t="s">
        <v>23</v>
      </c>
      <c r="D331" s="19" t="str">
        <f>VLOOKUP(C331,Employees!A:J,2,0)</f>
        <v>ابراهيم خليفة</v>
      </c>
      <c r="E331" s="20">
        <v>0.375</v>
      </c>
      <c r="F331" s="20">
        <v>0.875</v>
      </c>
      <c r="G331" s="21" t="s">
        <v>69</v>
      </c>
      <c r="H331" s="20">
        <f t="shared" si="173"/>
        <v>0.375</v>
      </c>
      <c r="I331" s="20">
        <v>0.99305555555555558</v>
      </c>
      <c r="J331" s="22">
        <f t="shared" si="174"/>
        <v>0</v>
      </c>
      <c r="K331" s="47">
        <f>(J331/60)*VLOOKUP(C331,Employees!A:J,10,0)*1.5</f>
        <v>0</v>
      </c>
      <c r="L331" s="22">
        <f t="shared" si="175"/>
        <v>0</v>
      </c>
      <c r="M331" s="23">
        <f>(L331/60)*VLOOKUP(C331,Employees!A:J,10,0)*2</f>
        <v>0</v>
      </c>
      <c r="N331" s="24">
        <f t="shared" si="176"/>
        <v>170.00000000000003</v>
      </c>
      <c r="O331" s="25">
        <f>(N331/60)*VLOOKUP(C331,Employees!A:J,10,0)*1.5</f>
        <v>91.820987654321002</v>
      </c>
      <c r="P331" s="23">
        <f>IF(G331="غياب",VLOOKUP(C331,Employees!$A$3:$J$36,9,FALSE()),0)</f>
        <v>0</v>
      </c>
    </row>
    <row r="332" spans="1:16" ht="15" customHeight="1">
      <c r="A332" s="17" t="s">
        <v>105</v>
      </c>
      <c r="B332" s="19" t="s">
        <v>68</v>
      </c>
      <c r="C332" s="19" t="s">
        <v>23</v>
      </c>
      <c r="D332" s="19" t="str">
        <f>VLOOKUP(C332,Employees!A:J,2,0)</f>
        <v>ابراهيم خليفة</v>
      </c>
      <c r="E332" s="20">
        <v>0.375</v>
      </c>
      <c r="F332" s="20">
        <v>0.875</v>
      </c>
      <c r="G332" s="21" t="s">
        <v>69</v>
      </c>
      <c r="H332" s="20">
        <f t="shared" si="173"/>
        <v>0.375</v>
      </c>
      <c r="I332" s="20">
        <v>0.9819444444444444</v>
      </c>
      <c r="J332" s="22">
        <f t="shared" si="174"/>
        <v>0</v>
      </c>
      <c r="K332" s="47">
        <f>(J332/60)*VLOOKUP(C332,Employees!A:J,10,0)*1.5</f>
        <v>0</v>
      </c>
      <c r="L332" s="22">
        <f t="shared" si="175"/>
        <v>0</v>
      </c>
      <c r="M332" s="23">
        <f>(L332/60)*VLOOKUP(C332,Employees!A:J,10,0)*2</f>
        <v>0</v>
      </c>
      <c r="N332" s="24">
        <f t="shared" si="176"/>
        <v>153.99999999999994</v>
      </c>
      <c r="O332" s="25">
        <f>(N332/60)*VLOOKUP(C332,Employees!A:J,10,0)*1.5</f>
        <v>83.17901234567897</v>
      </c>
      <c r="P332" s="23">
        <f>IF(G332="غياب",VLOOKUP(C332,Employees!$A$3:$J$36,9,FALSE()),0)</f>
        <v>0</v>
      </c>
    </row>
    <row r="333" spans="1:16" ht="15" customHeight="1">
      <c r="A333" s="17" t="s">
        <v>106</v>
      </c>
      <c r="B333" s="19" t="s">
        <v>71</v>
      </c>
      <c r="C333" s="19" t="s">
        <v>23</v>
      </c>
      <c r="D333" s="19" t="str">
        <f>VLOOKUP(C333,Employees!A:J,2,0)</f>
        <v>ابراهيم خليفة</v>
      </c>
      <c r="E333" s="20">
        <v>0.375</v>
      </c>
      <c r="F333" s="20">
        <v>0.875</v>
      </c>
      <c r="G333" s="21" t="s">
        <v>69</v>
      </c>
      <c r="H333" s="20">
        <f t="shared" si="173"/>
        <v>0.375</v>
      </c>
      <c r="I333" s="20">
        <v>0.9291666666666667</v>
      </c>
      <c r="J333" s="22">
        <f t="shared" si="174"/>
        <v>0</v>
      </c>
      <c r="K333" s="47">
        <f>(J333/60)*VLOOKUP(C333,Employees!A:J,10,0)*1.5</f>
        <v>0</v>
      </c>
      <c r="L333" s="22">
        <f t="shared" si="175"/>
        <v>0</v>
      </c>
      <c r="M333" s="23">
        <f>(L333/60)*VLOOKUP(C333,Employees!A:J,10,0)*2</f>
        <v>0</v>
      </c>
      <c r="N333" s="24">
        <f t="shared" si="176"/>
        <v>78.000000000000043</v>
      </c>
      <c r="O333" s="25">
        <f>(N333/60)*VLOOKUP(C333,Employees!A:J,10,0)*1.5</f>
        <v>42.129629629629648</v>
      </c>
      <c r="P333" s="23">
        <f>IF(G333="غياب",VLOOKUP(C333,Employees!$A$3:$J$36,9,FALSE()),0)</f>
        <v>0</v>
      </c>
    </row>
    <row r="334" spans="1:16" ht="15" customHeight="1">
      <c r="A334" s="17" t="s">
        <v>67</v>
      </c>
      <c r="B334" s="19" t="s">
        <v>68</v>
      </c>
      <c r="C334" s="19" t="s">
        <v>24</v>
      </c>
      <c r="D334" s="19" t="str">
        <f>VLOOKUP(C334,Employees!A:J,2,0)</f>
        <v>طارق سعد</v>
      </c>
      <c r="E334" s="20"/>
      <c r="F334" s="20"/>
      <c r="G334" s="21" t="s">
        <v>69</v>
      </c>
      <c r="H334" s="20"/>
      <c r="I334" s="20"/>
      <c r="J334" s="22">
        <f t="shared" si="174"/>
        <v>0</v>
      </c>
      <c r="K334" s="47">
        <f>(J334/60)*VLOOKUP(C334,Employees!A:J,10,0)*1.5</f>
        <v>0</v>
      </c>
      <c r="L334" s="22">
        <f t="shared" si="175"/>
        <v>0</v>
      </c>
      <c r="M334" s="23">
        <f>(L334/60)*VLOOKUP(C334,Employees!A:J,10,0)*2</f>
        <v>0</v>
      </c>
      <c r="N334" s="24">
        <f t="shared" si="176"/>
        <v>0</v>
      </c>
      <c r="O334" s="25">
        <f>(N334/60)*VLOOKUP(C334,Employees!A:J,10,0)*1.5</f>
        <v>0</v>
      </c>
      <c r="P334" s="23">
        <f>IF(G334="غياب",VLOOKUP(C334,Employees!$A$3:$J$36,9,FALSE()),0)</f>
        <v>0</v>
      </c>
    </row>
    <row r="335" spans="1:16" ht="15" customHeight="1">
      <c r="A335" s="17" t="s">
        <v>70</v>
      </c>
      <c r="B335" s="19" t="s">
        <v>71</v>
      </c>
      <c r="C335" s="19" t="s">
        <v>24</v>
      </c>
      <c r="D335" s="19" t="str">
        <f>VLOOKUP(C335,Employees!A:J,2,0)</f>
        <v>طارق سعد</v>
      </c>
      <c r="E335" s="20"/>
      <c r="F335" s="20"/>
      <c r="G335" s="21" t="s">
        <v>69</v>
      </c>
      <c r="H335" s="20"/>
      <c r="I335" s="20"/>
      <c r="J335" s="22">
        <f t="shared" si="174"/>
        <v>0</v>
      </c>
      <c r="K335" s="47">
        <f>(J335/60)*VLOOKUP(C335,Employees!A:J,10,0)*1.5</f>
        <v>0</v>
      </c>
      <c r="L335" s="22">
        <f t="shared" si="175"/>
        <v>0</v>
      </c>
      <c r="M335" s="23">
        <f>(L335/60)*VLOOKUP(C335,Employees!A:J,10,0)*2</f>
        <v>0</v>
      </c>
      <c r="N335" s="24">
        <f t="shared" si="176"/>
        <v>0</v>
      </c>
      <c r="O335" s="25">
        <f>(N335/60)*VLOOKUP(C335,Employees!A:J,10,0)*1.5</f>
        <v>0</v>
      </c>
      <c r="P335" s="23">
        <f>IF(G335="غياب",VLOOKUP(C335,Employees!$A$3:$J$36,9,FALSE()),0)</f>
        <v>0</v>
      </c>
    </row>
    <row r="336" spans="1:16" ht="15" customHeight="1">
      <c r="A336" s="17" t="s">
        <v>72</v>
      </c>
      <c r="B336" s="19" t="s">
        <v>73</v>
      </c>
      <c r="C336" s="19" t="s">
        <v>24</v>
      </c>
      <c r="D336" s="19" t="str">
        <f>VLOOKUP(C336,Employees!A:J,2,0)</f>
        <v>طارق سعد</v>
      </c>
      <c r="E336" s="20"/>
      <c r="F336" s="20"/>
      <c r="G336" s="21" t="s">
        <v>69</v>
      </c>
      <c r="H336" s="20"/>
      <c r="I336" s="20"/>
      <c r="J336" s="22">
        <f t="shared" si="174"/>
        <v>0</v>
      </c>
      <c r="K336" s="47">
        <f>(J336/60)*VLOOKUP(C336,Employees!A:J,10,0)*1.5</f>
        <v>0</v>
      </c>
      <c r="L336" s="22">
        <f t="shared" si="175"/>
        <v>0</v>
      </c>
      <c r="M336" s="23">
        <f>(L336/60)*VLOOKUP(C336,Employees!A:J,10,0)*2</f>
        <v>0</v>
      </c>
      <c r="N336" s="24">
        <f t="shared" si="176"/>
        <v>0</v>
      </c>
      <c r="O336" s="25">
        <f>(N336/60)*VLOOKUP(C336,Employees!A:J,10,0)*1.5</f>
        <v>0</v>
      </c>
      <c r="P336" s="23">
        <f>IF(G336="غياب",VLOOKUP(C336,Employees!$A$3:$J$36,9,FALSE()),0)</f>
        <v>0</v>
      </c>
    </row>
    <row r="337" spans="1:16" ht="15" customHeight="1">
      <c r="A337" s="17" t="s">
        <v>74</v>
      </c>
      <c r="B337" s="19" t="s">
        <v>75</v>
      </c>
      <c r="C337" s="19" t="s">
        <v>24</v>
      </c>
      <c r="D337" s="19" t="str">
        <f>VLOOKUP(C337,Employees!A:J,2,0)</f>
        <v>طارق سعد</v>
      </c>
      <c r="E337" s="20"/>
      <c r="F337" s="20"/>
      <c r="G337" s="21" t="s">
        <v>69</v>
      </c>
      <c r="H337" s="20"/>
      <c r="I337" s="20"/>
      <c r="J337" s="22">
        <f t="shared" si="174"/>
        <v>0</v>
      </c>
      <c r="K337" s="47">
        <f>(J337/60)*VLOOKUP(C337,Employees!A:J,10,0)*1.5</f>
        <v>0</v>
      </c>
      <c r="L337" s="22">
        <f t="shared" si="175"/>
        <v>0</v>
      </c>
      <c r="M337" s="23">
        <f>(L337/60)*VLOOKUP(C337,Employees!A:J,10,0)*2</f>
        <v>0</v>
      </c>
      <c r="N337" s="24">
        <f t="shared" si="176"/>
        <v>0</v>
      </c>
      <c r="O337" s="25">
        <f>(N337/60)*VLOOKUP(C337,Employees!A:J,10,0)*1.5</f>
        <v>0</v>
      </c>
      <c r="P337" s="23">
        <f>IF(G337="غياب",VLOOKUP(C337,Employees!$A$3:$J$36,9,FALSE()),0)</f>
        <v>0</v>
      </c>
    </row>
    <row r="338" spans="1:16" ht="15" customHeight="1">
      <c r="A338" s="26" t="s">
        <v>76</v>
      </c>
      <c r="B338" s="28" t="s">
        <v>77</v>
      </c>
      <c r="C338" s="28" t="s">
        <v>24</v>
      </c>
      <c r="D338" s="28" t="str">
        <f>VLOOKUP(C338,Employees!A:J,2,0)</f>
        <v>طارق سعد</v>
      </c>
      <c r="E338" s="29" t="s">
        <v>78</v>
      </c>
      <c r="F338" s="29" t="s">
        <v>78</v>
      </c>
      <c r="G338" s="27" t="s">
        <v>79</v>
      </c>
      <c r="H338" s="29" t="s">
        <v>78</v>
      </c>
      <c r="I338" s="29" t="s">
        <v>78</v>
      </c>
      <c r="J338" s="22" t="s">
        <v>78</v>
      </c>
      <c r="K338" s="47" t="s">
        <v>78</v>
      </c>
      <c r="L338" s="22" t="s">
        <v>78</v>
      </c>
      <c r="M338" s="23" t="s">
        <v>78</v>
      </c>
      <c r="N338" s="24" t="s">
        <v>78</v>
      </c>
      <c r="O338" s="24" t="s">
        <v>78</v>
      </c>
      <c r="P338" s="23">
        <f>IF(G338="غياب",VLOOKUP(C338,Employees!$A$3:$J$36,9,FALSE()),0)</f>
        <v>0</v>
      </c>
    </row>
    <row r="339" spans="1:16" ht="15" customHeight="1">
      <c r="A339" s="17" t="s">
        <v>80</v>
      </c>
      <c r="B339" s="19" t="s">
        <v>81</v>
      </c>
      <c r="C339" s="19" t="s">
        <v>24</v>
      </c>
      <c r="D339" s="19" t="str">
        <f>VLOOKUP(C339,Employees!A:J,2,0)</f>
        <v>طارق سعد</v>
      </c>
      <c r="E339" s="20"/>
      <c r="F339" s="20"/>
      <c r="G339" s="21" t="s">
        <v>69</v>
      </c>
      <c r="H339" s="20"/>
      <c r="I339" s="20"/>
      <c r="J339" s="22">
        <f t="shared" ref="J339:J344" si="177">IF(OR(H339="",G339="غياب",G339="إجازة أسبوعية"),0,
IF(H339&gt;=E339-TIME(0,20,0),0,
IF(H339&gt;=E339-TIME(0,30,0),30,(E339-H339)*1440)))</f>
        <v>0</v>
      </c>
      <c r="K339" s="47">
        <f>(J339/60)*VLOOKUP(C339,Employees!A:J,10,0)*1.5</f>
        <v>0</v>
      </c>
      <c r="L339" s="22">
        <f t="shared" ref="L339:L344" si="178">IF(OR(H339="",G339="غياب",G339="إجازة أسبوعية"),0,
IF(H339&lt;=E339+TIME(0,30,0),0,
30+((H339-(E339+TIME(0,30,0)))*1440)))</f>
        <v>0</v>
      </c>
      <c r="M339" s="23">
        <f>(L339/60)*VLOOKUP(C339,Employees!A:J,10,0)*2</f>
        <v>0</v>
      </c>
      <c r="N339" s="24">
        <f t="shared" ref="N339:N344" si="179">IF(OR(I339="",G339="غياب",G339="إجازة أسبوعية",I339&lt;=F339),0,
IF(MOD(I339-F339,1)&lt;=TIME(0,25,0),0,MAX(0,(I339-F339)*1440)))</f>
        <v>0</v>
      </c>
      <c r="O339" s="25">
        <f>(N339/60)*VLOOKUP(C339,Employees!A:J,10,0)*1.5</f>
        <v>0</v>
      </c>
      <c r="P339" s="23">
        <f>IF(G339="غياب",VLOOKUP(C339,Employees!$A$3:$J$36,9,FALSE()),0)</f>
        <v>0</v>
      </c>
    </row>
    <row r="340" spans="1:16" ht="15" customHeight="1">
      <c r="A340" s="17" t="s">
        <v>82</v>
      </c>
      <c r="B340" s="19" t="s">
        <v>83</v>
      </c>
      <c r="C340" s="19" t="s">
        <v>24</v>
      </c>
      <c r="D340" s="19" t="str">
        <f>VLOOKUP(C340,Employees!A:J,2,0)</f>
        <v>طارق سعد</v>
      </c>
      <c r="E340" s="20"/>
      <c r="F340" s="20"/>
      <c r="G340" s="21" t="s">
        <v>69</v>
      </c>
      <c r="H340" s="20"/>
      <c r="I340" s="20"/>
      <c r="J340" s="22">
        <f t="shared" si="177"/>
        <v>0</v>
      </c>
      <c r="K340" s="47">
        <f>(J340/60)*VLOOKUP(C340,Employees!A:J,10,0)*1.5</f>
        <v>0</v>
      </c>
      <c r="L340" s="22">
        <f t="shared" si="178"/>
        <v>0</v>
      </c>
      <c r="M340" s="23">
        <f>(L340/60)*VLOOKUP(C340,Employees!A:J,10,0)*2</f>
        <v>0</v>
      </c>
      <c r="N340" s="24">
        <f t="shared" si="179"/>
        <v>0</v>
      </c>
      <c r="O340" s="25">
        <f>(N340/60)*VLOOKUP(C340,Employees!A:J,10,0)*1.5</f>
        <v>0</v>
      </c>
      <c r="P340" s="23">
        <f>IF(G340="غياب",VLOOKUP(C340,Employees!$A$3:$J$36,9,FALSE()),0)</f>
        <v>0</v>
      </c>
    </row>
    <row r="341" spans="1:16" ht="15" customHeight="1">
      <c r="A341" s="17" t="s">
        <v>84</v>
      </c>
      <c r="B341" s="19" t="s">
        <v>68</v>
      </c>
      <c r="C341" s="19" t="s">
        <v>24</v>
      </c>
      <c r="D341" s="19" t="str">
        <f>VLOOKUP(C341,Employees!A:J,2,0)</f>
        <v>طارق سعد</v>
      </c>
      <c r="E341" s="20"/>
      <c r="F341" s="20"/>
      <c r="G341" s="21" t="s">
        <v>69</v>
      </c>
      <c r="H341" s="20"/>
      <c r="I341" s="20"/>
      <c r="J341" s="22">
        <f t="shared" si="177"/>
        <v>0</v>
      </c>
      <c r="K341" s="47">
        <f>(J341/60)*VLOOKUP(C341,Employees!A:J,10,0)*1.5</f>
        <v>0</v>
      </c>
      <c r="L341" s="22">
        <f t="shared" si="178"/>
        <v>0</v>
      </c>
      <c r="M341" s="23">
        <f>(L341/60)*VLOOKUP(C341,Employees!A:J,10,0)*2</f>
        <v>0</v>
      </c>
      <c r="N341" s="24">
        <f t="shared" si="179"/>
        <v>0</v>
      </c>
      <c r="O341" s="25">
        <f>(N341/60)*VLOOKUP(C341,Employees!A:J,10,0)*1.5</f>
        <v>0</v>
      </c>
      <c r="P341" s="23">
        <f>IF(G341="غياب",VLOOKUP(C341,Employees!$A$3:$J$36,9,FALSE()),0)</f>
        <v>0</v>
      </c>
    </row>
    <row r="342" spans="1:16" ht="15" customHeight="1">
      <c r="A342" s="17" t="s">
        <v>85</v>
      </c>
      <c r="B342" s="19" t="s">
        <v>71</v>
      </c>
      <c r="C342" s="19" t="s">
        <v>24</v>
      </c>
      <c r="D342" s="19" t="str">
        <f>VLOOKUP(C342,Employees!A:J,2,0)</f>
        <v>طارق سعد</v>
      </c>
      <c r="E342" s="20"/>
      <c r="F342" s="20"/>
      <c r="G342" s="21" t="s">
        <v>69</v>
      </c>
      <c r="H342" s="20"/>
      <c r="I342" s="20"/>
      <c r="J342" s="22">
        <f t="shared" si="177"/>
        <v>0</v>
      </c>
      <c r="K342" s="47">
        <f>(J342/60)*VLOOKUP(C342,Employees!A:J,10,0)*1.5</f>
        <v>0</v>
      </c>
      <c r="L342" s="22">
        <f t="shared" si="178"/>
        <v>0</v>
      </c>
      <c r="M342" s="23">
        <f>(L342/60)*VLOOKUP(C342,Employees!A:J,10,0)*2</f>
        <v>0</v>
      </c>
      <c r="N342" s="24">
        <f t="shared" si="179"/>
        <v>0</v>
      </c>
      <c r="O342" s="25">
        <f>(N342/60)*VLOOKUP(C342,Employees!A:J,10,0)*1.5</f>
        <v>0</v>
      </c>
      <c r="P342" s="23">
        <f>IF(G342="غياب",VLOOKUP(C342,Employees!$A$3:$J$36,9,FALSE()),0)</f>
        <v>0</v>
      </c>
    </row>
    <row r="343" spans="1:16" ht="15" customHeight="1">
      <c r="A343" s="17" t="s">
        <v>86</v>
      </c>
      <c r="B343" s="19" t="s">
        <v>73</v>
      </c>
      <c r="C343" s="19" t="s">
        <v>24</v>
      </c>
      <c r="D343" s="19" t="str">
        <f>VLOOKUP(C343,Employees!A:J,2,0)</f>
        <v>طارق سعد</v>
      </c>
      <c r="E343" s="20"/>
      <c r="F343" s="20"/>
      <c r="G343" s="21" t="s">
        <v>69</v>
      </c>
      <c r="H343" s="20"/>
      <c r="I343" s="20"/>
      <c r="J343" s="22">
        <f t="shared" si="177"/>
        <v>0</v>
      </c>
      <c r="K343" s="47">
        <f>(J343/60)*VLOOKUP(C343,Employees!A:J,10,0)*1.5</f>
        <v>0</v>
      </c>
      <c r="L343" s="22">
        <f t="shared" si="178"/>
        <v>0</v>
      </c>
      <c r="M343" s="23">
        <f>(L343/60)*VLOOKUP(C343,Employees!A:J,10,0)*2</f>
        <v>0</v>
      </c>
      <c r="N343" s="24">
        <f t="shared" si="179"/>
        <v>0</v>
      </c>
      <c r="O343" s="25">
        <f>(N343/60)*VLOOKUP(C343,Employees!A:J,10,0)*1.5</f>
        <v>0</v>
      </c>
      <c r="P343" s="23">
        <f>IF(G343="غياب",VLOOKUP(C343,Employees!$A$3:$J$36,9,FALSE()),0)</f>
        <v>0</v>
      </c>
    </row>
    <row r="344" spans="1:16" ht="15" customHeight="1">
      <c r="A344" s="17" t="s">
        <v>87</v>
      </c>
      <c r="B344" s="19" t="s">
        <v>75</v>
      </c>
      <c r="C344" s="19" t="s">
        <v>24</v>
      </c>
      <c r="D344" s="19" t="str">
        <f>VLOOKUP(C344,Employees!A:J,2,0)</f>
        <v>طارق سعد</v>
      </c>
      <c r="E344" s="20"/>
      <c r="F344" s="20"/>
      <c r="G344" s="21" t="s">
        <v>69</v>
      </c>
      <c r="H344" s="20"/>
      <c r="I344" s="20"/>
      <c r="J344" s="22">
        <f t="shared" si="177"/>
        <v>0</v>
      </c>
      <c r="K344" s="47">
        <f>(J344/60)*VLOOKUP(C344,Employees!A:J,10,0)*1.5</f>
        <v>0</v>
      </c>
      <c r="L344" s="22">
        <f t="shared" si="178"/>
        <v>0</v>
      </c>
      <c r="M344" s="23">
        <f>(L344/60)*VLOOKUP(C344,Employees!A:J,10,0)*2</f>
        <v>0</v>
      </c>
      <c r="N344" s="24">
        <f t="shared" si="179"/>
        <v>0</v>
      </c>
      <c r="O344" s="25">
        <f>(N344/60)*VLOOKUP(C344,Employees!A:J,10,0)*1.5</f>
        <v>0</v>
      </c>
      <c r="P344" s="23">
        <f>IF(G344="غياب",VLOOKUP(C344,Employees!$A$3:$J$36,9,FALSE()),0)</f>
        <v>0</v>
      </c>
    </row>
    <row r="345" spans="1:16" ht="15" customHeight="1">
      <c r="A345" s="26" t="s">
        <v>88</v>
      </c>
      <c r="B345" s="28" t="s">
        <v>77</v>
      </c>
      <c r="C345" s="28" t="s">
        <v>24</v>
      </c>
      <c r="D345" s="28" t="str">
        <f>VLOOKUP(C345,Employees!A:J,2,0)</f>
        <v>طارق سعد</v>
      </c>
      <c r="E345" s="29" t="s">
        <v>78</v>
      </c>
      <c r="F345" s="29" t="s">
        <v>78</v>
      </c>
      <c r="G345" s="27" t="s">
        <v>79</v>
      </c>
      <c r="H345" s="29" t="s">
        <v>78</v>
      </c>
      <c r="I345" s="29" t="s">
        <v>78</v>
      </c>
      <c r="J345" s="22" t="s">
        <v>78</v>
      </c>
      <c r="K345" s="47" t="s">
        <v>78</v>
      </c>
      <c r="L345" s="22" t="s">
        <v>78</v>
      </c>
      <c r="M345" s="23" t="s">
        <v>78</v>
      </c>
      <c r="N345" s="24" t="s">
        <v>78</v>
      </c>
      <c r="O345" s="24" t="s">
        <v>78</v>
      </c>
      <c r="P345" s="23">
        <f>IF(G345="غياب",VLOOKUP(C345,Employees!$A$3:$J$36,9,FALSE()),0)</f>
        <v>0</v>
      </c>
    </row>
    <row r="346" spans="1:16" ht="15" customHeight="1">
      <c r="A346" s="26" t="s">
        <v>89</v>
      </c>
      <c r="B346" s="28" t="s">
        <v>81</v>
      </c>
      <c r="C346" s="28" t="s">
        <v>24</v>
      </c>
      <c r="D346" s="28" t="str">
        <f>VLOOKUP(C346,Employees!A:J,2,0)</f>
        <v>طارق سعد</v>
      </c>
      <c r="E346" s="29" t="s">
        <v>78</v>
      </c>
      <c r="F346" s="29" t="s">
        <v>78</v>
      </c>
      <c r="G346" s="27" t="s">
        <v>79</v>
      </c>
      <c r="H346" s="29" t="s">
        <v>78</v>
      </c>
      <c r="I346" s="29" t="s">
        <v>78</v>
      </c>
      <c r="J346" s="22" t="s">
        <v>78</v>
      </c>
      <c r="K346" s="47" t="s">
        <v>78</v>
      </c>
      <c r="L346" s="22" t="s">
        <v>78</v>
      </c>
      <c r="M346" s="23" t="s">
        <v>78</v>
      </c>
      <c r="N346" s="24" t="s">
        <v>78</v>
      </c>
      <c r="O346" s="24" t="s">
        <v>78</v>
      </c>
      <c r="P346" s="23">
        <f>IF(G346="غياب",VLOOKUP(C346,Employees!$A$3:$J$36,9,FALSE()),0)</f>
        <v>0</v>
      </c>
    </row>
    <row r="347" spans="1:16" ht="15" customHeight="1">
      <c r="A347" s="17" t="s">
        <v>90</v>
      </c>
      <c r="B347" s="19" t="s">
        <v>83</v>
      </c>
      <c r="C347" s="19" t="s">
        <v>24</v>
      </c>
      <c r="D347" s="19" t="str">
        <f>VLOOKUP(C347,Employees!A:J,2,0)</f>
        <v>طارق سعد</v>
      </c>
      <c r="E347" s="20"/>
      <c r="F347" s="20"/>
      <c r="G347" s="21" t="s">
        <v>69</v>
      </c>
      <c r="H347" s="20"/>
      <c r="I347" s="20"/>
      <c r="J347" s="22">
        <f t="shared" ref="J347:J351" si="180">IF(OR(H347="",G347="غياب",G347="إجازة أسبوعية"),0,
IF(H347&gt;=E347-TIME(0,20,0),0,
IF(H347&gt;=E347-TIME(0,30,0),30,(E347-H347)*1440)))</f>
        <v>0</v>
      </c>
      <c r="K347" s="47">
        <f>(J347/60)*VLOOKUP(C347,Employees!A:J,10,0)*1.5</f>
        <v>0</v>
      </c>
      <c r="L347" s="22">
        <f t="shared" ref="L347:L351" si="181">IF(OR(H347="",G347="غياب",G347="إجازة أسبوعية"),0,
IF(H347&lt;=E347+TIME(0,30,0),0,
30+((H347-(E347+TIME(0,30,0)))*1440)))</f>
        <v>0</v>
      </c>
      <c r="M347" s="23">
        <f>(L347/60)*VLOOKUP(C347,Employees!A:J,10,0)*2</f>
        <v>0</v>
      </c>
      <c r="N347" s="24">
        <f t="shared" ref="N347:N351" si="182">IF(OR(I347="",G347="غياب",G347="إجازة أسبوعية",I347&lt;=F347),0,
IF(MOD(I347-F347,1)&lt;=TIME(0,25,0),0,MAX(0,(I347-F347)*1440)))</f>
        <v>0</v>
      </c>
      <c r="O347" s="25">
        <f>(N347/60)*VLOOKUP(C347,Employees!A:J,10,0)*1.5</f>
        <v>0</v>
      </c>
      <c r="P347" s="23">
        <f>IF(G347="غياب",VLOOKUP(C347,Employees!$A$3:$J$36,9,FALSE()),0)</f>
        <v>0</v>
      </c>
    </row>
    <row r="348" spans="1:16" ht="15" customHeight="1">
      <c r="A348" s="17" t="s">
        <v>91</v>
      </c>
      <c r="B348" s="19" t="s">
        <v>68</v>
      </c>
      <c r="C348" s="19" t="s">
        <v>24</v>
      </c>
      <c r="D348" s="19" t="str">
        <f>VLOOKUP(C348,Employees!A:J,2,0)</f>
        <v>طارق سعد</v>
      </c>
      <c r="E348" s="20"/>
      <c r="F348" s="20"/>
      <c r="G348" s="21" t="s">
        <v>69</v>
      </c>
      <c r="H348" s="20"/>
      <c r="I348" s="20"/>
      <c r="J348" s="22">
        <f t="shared" si="180"/>
        <v>0</v>
      </c>
      <c r="K348" s="47">
        <f>(J348/60)*VLOOKUP(C348,Employees!A:J,10,0)*1.5</f>
        <v>0</v>
      </c>
      <c r="L348" s="22">
        <f t="shared" si="181"/>
        <v>0</v>
      </c>
      <c r="M348" s="23">
        <f>(L348/60)*VLOOKUP(C348,Employees!A:J,10,0)*2</f>
        <v>0</v>
      </c>
      <c r="N348" s="24">
        <f t="shared" si="182"/>
        <v>0</v>
      </c>
      <c r="O348" s="25">
        <f>(N348/60)*VLOOKUP(C348,Employees!A:J,10,0)*1.5</f>
        <v>0</v>
      </c>
      <c r="P348" s="23">
        <f>IF(G348="غياب",VLOOKUP(C348,Employees!$A$3:$J$36,9,FALSE()),0)</f>
        <v>0</v>
      </c>
    </row>
    <row r="349" spans="1:16" ht="15" customHeight="1">
      <c r="A349" s="17" t="s">
        <v>92</v>
      </c>
      <c r="B349" s="19" t="s">
        <v>71</v>
      </c>
      <c r="C349" s="19" t="s">
        <v>24</v>
      </c>
      <c r="D349" s="19" t="str">
        <f>VLOOKUP(C349,Employees!A:J,2,0)</f>
        <v>طارق سعد</v>
      </c>
      <c r="E349" s="20"/>
      <c r="F349" s="20"/>
      <c r="G349" s="21" t="s">
        <v>69</v>
      </c>
      <c r="H349" s="20"/>
      <c r="I349" s="20"/>
      <c r="J349" s="22">
        <f t="shared" si="180"/>
        <v>0</v>
      </c>
      <c r="K349" s="47">
        <f>(J349/60)*VLOOKUP(C349,Employees!A:J,10,0)*1.5</f>
        <v>0</v>
      </c>
      <c r="L349" s="22">
        <f t="shared" si="181"/>
        <v>0</v>
      </c>
      <c r="M349" s="23">
        <f>(L349/60)*VLOOKUP(C349,Employees!A:J,10,0)*2</f>
        <v>0</v>
      </c>
      <c r="N349" s="24">
        <f t="shared" si="182"/>
        <v>0</v>
      </c>
      <c r="O349" s="25">
        <f>(N349/60)*VLOOKUP(C349,Employees!A:J,10,0)*1.5</f>
        <v>0</v>
      </c>
      <c r="P349" s="23">
        <f>IF(G349="غياب",VLOOKUP(C349,Employees!$A$3:$J$36,9,FALSE()),0)</f>
        <v>0</v>
      </c>
    </row>
    <row r="350" spans="1:16" ht="15" customHeight="1">
      <c r="A350" s="17" t="s">
        <v>93</v>
      </c>
      <c r="B350" s="19" t="s">
        <v>73</v>
      </c>
      <c r="C350" s="19" t="s">
        <v>24</v>
      </c>
      <c r="D350" s="19" t="str">
        <f>VLOOKUP(C350,Employees!A:J,2,0)</f>
        <v>طارق سعد</v>
      </c>
      <c r="E350" s="20"/>
      <c r="F350" s="20"/>
      <c r="G350" s="21" t="s">
        <v>69</v>
      </c>
      <c r="H350" s="20"/>
      <c r="I350" s="20"/>
      <c r="J350" s="22">
        <f t="shared" si="180"/>
        <v>0</v>
      </c>
      <c r="K350" s="47">
        <f>(J350/60)*VLOOKUP(C350,Employees!A:J,10,0)*1.5</f>
        <v>0</v>
      </c>
      <c r="L350" s="22">
        <f t="shared" si="181"/>
        <v>0</v>
      </c>
      <c r="M350" s="23">
        <f>(L350/60)*VLOOKUP(C350,Employees!A:J,10,0)*2</f>
        <v>0</v>
      </c>
      <c r="N350" s="24">
        <f t="shared" si="182"/>
        <v>0</v>
      </c>
      <c r="O350" s="25">
        <f>(N350/60)*VLOOKUP(C350,Employees!A:J,10,0)*1.5</f>
        <v>0</v>
      </c>
      <c r="P350" s="23">
        <f>IF(G350="غياب",VLOOKUP(C350,Employees!$A$3:$J$36,9,FALSE()),0)</f>
        <v>0</v>
      </c>
    </row>
    <row r="351" spans="1:16" ht="15" customHeight="1">
      <c r="A351" s="17" t="s">
        <v>94</v>
      </c>
      <c r="B351" s="19" t="s">
        <v>75</v>
      </c>
      <c r="C351" s="19" t="s">
        <v>24</v>
      </c>
      <c r="D351" s="19" t="str">
        <f>VLOOKUP(C351,Employees!A:J,2,0)</f>
        <v>طارق سعد</v>
      </c>
      <c r="E351" s="20"/>
      <c r="F351" s="20"/>
      <c r="G351" s="21" t="s">
        <v>69</v>
      </c>
      <c r="H351" s="20"/>
      <c r="I351" s="20"/>
      <c r="J351" s="22">
        <f t="shared" si="180"/>
        <v>0</v>
      </c>
      <c r="K351" s="47">
        <f>(J351/60)*VLOOKUP(C351,Employees!A:J,10,0)*1.5</f>
        <v>0</v>
      </c>
      <c r="L351" s="22">
        <f t="shared" si="181"/>
        <v>0</v>
      </c>
      <c r="M351" s="23">
        <f>(L351/60)*VLOOKUP(C351,Employees!A:J,10,0)*2</f>
        <v>0</v>
      </c>
      <c r="N351" s="24">
        <f t="shared" si="182"/>
        <v>0</v>
      </c>
      <c r="O351" s="25">
        <f>(N351/60)*VLOOKUP(C351,Employees!A:J,10,0)*1.5</f>
        <v>0</v>
      </c>
      <c r="P351" s="23">
        <f>IF(G351="غياب",VLOOKUP(C351,Employees!$A$3:$J$36,9,FALSE()),0)</f>
        <v>0</v>
      </c>
    </row>
    <row r="352" spans="1:16" ht="15" customHeight="1">
      <c r="A352" s="26" t="s">
        <v>95</v>
      </c>
      <c r="B352" s="28" t="s">
        <v>77</v>
      </c>
      <c r="C352" s="28" t="s">
        <v>24</v>
      </c>
      <c r="D352" s="28" t="str">
        <f>VLOOKUP(C352,Employees!A:J,2,0)</f>
        <v>طارق سعد</v>
      </c>
      <c r="E352" s="29" t="s">
        <v>78</v>
      </c>
      <c r="F352" s="29" t="s">
        <v>78</v>
      </c>
      <c r="G352" s="27" t="s">
        <v>79</v>
      </c>
      <c r="H352" s="29" t="s">
        <v>78</v>
      </c>
      <c r="I352" s="29" t="s">
        <v>78</v>
      </c>
      <c r="J352" s="22" t="s">
        <v>78</v>
      </c>
      <c r="K352" s="47" t="s">
        <v>78</v>
      </c>
      <c r="L352" s="22" t="s">
        <v>78</v>
      </c>
      <c r="M352" s="23" t="s">
        <v>78</v>
      </c>
      <c r="N352" s="24" t="s">
        <v>78</v>
      </c>
      <c r="O352" s="24" t="s">
        <v>78</v>
      </c>
      <c r="P352" s="23">
        <f>IF(G352="غياب",VLOOKUP(C352,Employees!$A$3:$J$36,9,FALSE()),0)</f>
        <v>0</v>
      </c>
    </row>
    <row r="353" spans="1:16" ht="15" customHeight="1">
      <c r="A353" s="17" t="s">
        <v>96</v>
      </c>
      <c r="B353" s="19" t="s">
        <v>81</v>
      </c>
      <c r="C353" s="19" t="s">
        <v>24</v>
      </c>
      <c r="D353" s="19" t="str">
        <f>VLOOKUP(C353,Employees!A:J,2,0)</f>
        <v>طارق سعد</v>
      </c>
      <c r="E353" s="20"/>
      <c r="F353" s="20"/>
      <c r="G353" s="21" t="s">
        <v>69</v>
      </c>
      <c r="H353" s="20"/>
      <c r="I353" s="20"/>
      <c r="J353" s="22">
        <f t="shared" ref="J353:J358" si="183">IF(OR(H353="",G353="غياب",G353="إجازة أسبوعية"),0,
IF(H353&gt;=E353-TIME(0,20,0),0,
IF(H353&gt;=E353-TIME(0,30,0),30,(E353-H353)*1440)))</f>
        <v>0</v>
      </c>
      <c r="K353" s="47">
        <f>(J353/60)*VLOOKUP(C353,Employees!A:J,10,0)*1.5</f>
        <v>0</v>
      </c>
      <c r="L353" s="22">
        <f t="shared" ref="L353:L358" si="184">IF(OR(H353="",G353="غياب",G353="إجازة أسبوعية"),0,
IF(H353&lt;=E353+TIME(0,30,0),0,
30+((H353-(E353+TIME(0,30,0)))*1440)))</f>
        <v>0</v>
      </c>
      <c r="M353" s="23">
        <f>(L353/60)*VLOOKUP(C353,Employees!A:J,10,0)*2</f>
        <v>0</v>
      </c>
      <c r="N353" s="24">
        <f t="shared" ref="N353:N358" si="185">IF(OR(I353="",G353="غياب",G353="إجازة أسبوعية",I353&lt;=F353),0,
IF(MOD(I353-F353,1)&lt;=TIME(0,25,0),0,MAX(0,(I353-F353)*1440)))</f>
        <v>0</v>
      </c>
      <c r="O353" s="25">
        <f>(N353/60)*VLOOKUP(C353,Employees!A:J,10,0)*1.5</f>
        <v>0</v>
      </c>
      <c r="P353" s="23">
        <f>IF(G353="غياب",VLOOKUP(C353,Employees!$A$3:$J$36,9,FALSE()),0)</f>
        <v>0</v>
      </c>
    </row>
    <row r="354" spans="1:16" ht="15" customHeight="1">
      <c r="A354" s="17" t="s">
        <v>97</v>
      </c>
      <c r="B354" s="19" t="s">
        <v>83</v>
      </c>
      <c r="C354" s="19" t="s">
        <v>24</v>
      </c>
      <c r="D354" s="19" t="str">
        <f>VLOOKUP(C354,Employees!A:J,2,0)</f>
        <v>طارق سعد</v>
      </c>
      <c r="E354" s="20"/>
      <c r="F354" s="20"/>
      <c r="G354" s="21" t="s">
        <v>69</v>
      </c>
      <c r="H354" s="20"/>
      <c r="I354" s="20"/>
      <c r="J354" s="22">
        <f t="shared" si="183"/>
        <v>0</v>
      </c>
      <c r="K354" s="47">
        <f>(J354/60)*VLOOKUP(C354,Employees!A:J,10,0)*1.5</f>
        <v>0</v>
      </c>
      <c r="L354" s="22">
        <f t="shared" si="184"/>
        <v>0</v>
      </c>
      <c r="M354" s="23">
        <f>(L354/60)*VLOOKUP(C354,Employees!A:J,10,0)*2</f>
        <v>0</v>
      </c>
      <c r="N354" s="24">
        <f t="shared" si="185"/>
        <v>0</v>
      </c>
      <c r="O354" s="25">
        <f>(N354/60)*VLOOKUP(C354,Employees!A:J,10,0)*1.5</f>
        <v>0</v>
      </c>
      <c r="P354" s="23">
        <f>IF(G354="غياب",VLOOKUP(C354,Employees!$A$3:$J$36,9,FALSE()),0)</f>
        <v>0</v>
      </c>
    </row>
    <row r="355" spans="1:16" ht="15" customHeight="1">
      <c r="A355" s="17" t="s">
        <v>98</v>
      </c>
      <c r="B355" s="19" t="s">
        <v>68</v>
      </c>
      <c r="C355" s="19" t="s">
        <v>24</v>
      </c>
      <c r="D355" s="19" t="str">
        <f>VLOOKUP(C355,Employees!A:J,2,0)</f>
        <v>طارق سعد</v>
      </c>
      <c r="E355" s="20"/>
      <c r="F355" s="20"/>
      <c r="G355" s="21" t="s">
        <v>69</v>
      </c>
      <c r="H355" s="20"/>
      <c r="I355" s="20"/>
      <c r="J355" s="22">
        <f t="shared" si="183"/>
        <v>0</v>
      </c>
      <c r="K355" s="47">
        <f>(J355/60)*VLOOKUP(C355,Employees!A:J,10,0)*1.5</f>
        <v>0</v>
      </c>
      <c r="L355" s="22">
        <f t="shared" si="184"/>
        <v>0</v>
      </c>
      <c r="M355" s="23">
        <f>(L355/60)*VLOOKUP(C355,Employees!A:J,10,0)*2</f>
        <v>0</v>
      </c>
      <c r="N355" s="24">
        <f t="shared" si="185"/>
        <v>0</v>
      </c>
      <c r="O355" s="25">
        <f>(N355/60)*VLOOKUP(C355,Employees!A:J,10,0)*1.5</f>
        <v>0</v>
      </c>
      <c r="P355" s="23">
        <f>IF(G355="غياب",VLOOKUP(C355,Employees!$A$3:$J$36,9,FALSE()),0)</f>
        <v>0</v>
      </c>
    </row>
    <row r="356" spans="1:16" ht="15" customHeight="1">
      <c r="A356" s="17" t="s">
        <v>99</v>
      </c>
      <c r="B356" s="19" t="s">
        <v>71</v>
      </c>
      <c r="C356" s="19" t="s">
        <v>24</v>
      </c>
      <c r="D356" s="19" t="str">
        <f>VLOOKUP(C356,Employees!A:J,2,0)</f>
        <v>طارق سعد</v>
      </c>
      <c r="E356" s="20"/>
      <c r="F356" s="20"/>
      <c r="G356" s="21" t="s">
        <v>69</v>
      </c>
      <c r="H356" s="20"/>
      <c r="I356" s="20"/>
      <c r="J356" s="22">
        <f t="shared" si="183"/>
        <v>0</v>
      </c>
      <c r="K356" s="47">
        <f>(J356/60)*VLOOKUP(C356,Employees!A:J,10,0)*1.5</f>
        <v>0</v>
      </c>
      <c r="L356" s="22">
        <f t="shared" si="184"/>
        <v>0</v>
      </c>
      <c r="M356" s="23">
        <f>(L356/60)*VLOOKUP(C356,Employees!A:J,10,0)*2</f>
        <v>0</v>
      </c>
      <c r="N356" s="24">
        <f t="shared" si="185"/>
        <v>0</v>
      </c>
      <c r="O356" s="25">
        <f>(N356/60)*VLOOKUP(C356,Employees!A:J,10,0)*1.5</f>
        <v>0</v>
      </c>
      <c r="P356" s="23">
        <f>IF(G356="غياب",VLOOKUP(C356,Employees!$A$3:$J$36,9,FALSE()),0)</f>
        <v>0</v>
      </c>
    </row>
    <row r="357" spans="1:16" ht="15" customHeight="1">
      <c r="A357" s="17" t="s">
        <v>100</v>
      </c>
      <c r="B357" s="19" t="s">
        <v>73</v>
      </c>
      <c r="C357" s="19" t="s">
        <v>24</v>
      </c>
      <c r="D357" s="19" t="str">
        <f>VLOOKUP(C357,Employees!A:J,2,0)</f>
        <v>طارق سعد</v>
      </c>
      <c r="E357" s="20"/>
      <c r="F357" s="20"/>
      <c r="G357" s="21" t="s">
        <v>69</v>
      </c>
      <c r="H357" s="20"/>
      <c r="I357" s="20"/>
      <c r="J357" s="22">
        <f t="shared" si="183"/>
        <v>0</v>
      </c>
      <c r="K357" s="47">
        <f>(J357/60)*VLOOKUP(C357,Employees!A:J,10,0)*1.5</f>
        <v>0</v>
      </c>
      <c r="L357" s="22">
        <f t="shared" si="184"/>
        <v>0</v>
      </c>
      <c r="M357" s="23">
        <f>(L357/60)*VLOOKUP(C357,Employees!A:J,10,0)*2</f>
        <v>0</v>
      </c>
      <c r="N357" s="24">
        <f t="shared" si="185"/>
        <v>0</v>
      </c>
      <c r="O357" s="25">
        <f>(N357/60)*VLOOKUP(C357,Employees!A:J,10,0)*1.5</f>
        <v>0</v>
      </c>
      <c r="P357" s="23">
        <f>IF(G357="غياب",VLOOKUP(C357,Employees!$A$3:$J$36,9,FALSE()),0)</f>
        <v>0</v>
      </c>
    </row>
    <row r="358" spans="1:16" ht="15" customHeight="1">
      <c r="A358" s="17" t="s">
        <v>101</v>
      </c>
      <c r="B358" s="19" t="s">
        <v>75</v>
      </c>
      <c r="C358" s="19" t="s">
        <v>24</v>
      </c>
      <c r="D358" s="19" t="str">
        <f>VLOOKUP(C358,Employees!A:J,2,0)</f>
        <v>طارق سعد</v>
      </c>
      <c r="E358" s="20"/>
      <c r="F358" s="20"/>
      <c r="G358" s="21" t="s">
        <v>69</v>
      </c>
      <c r="H358" s="20"/>
      <c r="I358" s="20"/>
      <c r="J358" s="22">
        <f t="shared" si="183"/>
        <v>0</v>
      </c>
      <c r="K358" s="47">
        <f>(J358/60)*VLOOKUP(C358,Employees!A:J,10,0)*1.5</f>
        <v>0</v>
      </c>
      <c r="L358" s="22">
        <f t="shared" si="184"/>
        <v>0</v>
      </c>
      <c r="M358" s="23">
        <f>(L358/60)*VLOOKUP(C358,Employees!A:J,10,0)*2</f>
        <v>0</v>
      </c>
      <c r="N358" s="24">
        <f t="shared" si="185"/>
        <v>0</v>
      </c>
      <c r="O358" s="25">
        <f>(N358/60)*VLOOKUP(C358,Employees!A:J,10,0)*1.5</f>
        <v>0</v>
      </c>
      <c r="P358" s="23">
        <f>IF(G358="غياب",VLOOKUP(C358,Employees!$A$3:$J$36,9,FALSE()),0)</f>
        <v>0</v>
      </c>
    </row>
    <row r="359" spans="1:16" ht="15" customHeight="1">
      <c r="A359" s="26" t="s">
        <v>102</v>
      </c>
      <c r="B359" s="28" t="s">
        <v>77</v>
      </c>
      <c r="C359" s="28" t="s">
        <v>24</v>
      </c>
      <c r="D359" s="28" t="str">
        <f>VLOOKUP(C359,Employees!A:J,2,0)</f>
        <v>طارق سعد</v>
      </c>
      <c r="E359" s="29" t="s">
        <v>78</v>
      </c>
      <c r="F359" s="29" t="s">
        <v>78</v>
      </c>
      <c r="G359" s="27" t="s">
        <v>79</v>
      </c>
      <c r="H359" s="29" t="s">
        <v>78</v>
      </c>
      <c r="I359" s="29" t="s">
        <v>78</v>
      </c>
      <c r="J359" s="22" t="s">
        <v>78</v>
      </c>
      <c r="K359" s="47" t="s">
        <v>78</v>
      </c>
      <c r="L359" s="22" t="s">
        <v>78</v>
      </c>
      <c r="M359" s="23" t="s">
        <v>78</v>
      </c>
      <c r="N359" s="24" t="s">
        <v>78</v>
      </c>
      <c r="O359" s="24" t="s">
        <v>78</v>
      </c>
      <c r="P359" s="23">
        <f>IF(G359="غياب",VLOOKUP(C359,Employees!$A$3:$J$36,9,FALSE()),0)</f>
        <v>0</v>
      </c>
    </row>
    <row r="360" spans="1:16" ht="15" customHeight="1">
      <c r="A360" s="17" t="s">
        <v>103</v>
      </c>
      <c r="B360" s="19" t="s">
        <v>81</v>
      </c>
      <c r="C360" s="19" t="s">
        <v>24</v>
      </c>
      <c r="D360" s="19" t="str">
        <f>VLOOKUP(C360,Employees!A:J,2,0)</f>
        <v>طارق سعد</v>
      </c>
      <c r="E360" s="20"/>
      <c r="F360" s="20"/>
      <c r="G360" s="21" t="s">
        <v>69</v>
      </c>
      <c r="H360" s="20"/>
      <c r="I360" s="20"/>
      <c r="J360" s="22">
        <f t="shared" ref="J360:J367" si="186">IF(OR(H360="",G360="غياب",G360="إجازة أسبوعية"),0,
IF(H360&gt;=E360-TIME(0,20,0),0,
IF(H360&gt;=E360-TIME(0,30,0),30,(E360-H360)*1440)))</f>
        <v>0</v>
      </c>
      <c r="K360" s="47">
        <f>(J360/60)*VLOOKUP(C360,Employees!A:J,10,0)*1.5</f>
        <v>0</v>
      </c>
      <c r="L360" s="22">
        <f t="shared" ref="L360:L367" si="187">IF(OR(H360="",G360="غياب",G360="إجازة أسبوعية"),0,
IF(H360&lt;=E360+TIME(0,30,0),0,
30+((H360-(E360+TIME(0,30,0)))*1440)))</f>
        <v>0</v>
      </c>
      <c r="M360" s="23">
        <f>(L360/60)*VLOOKUP(C360,Employees!A:J,10,0)*2</f>
        <v>0</v>
      </c>
      <c r="N360" s="24">
        <f t="shared" ref="N360:N367" si="188">IF(OR(I360="",G360="غياب",G360="إجازة أسبوعية",I360&lt;=F360),0,
IF(MOD(I360-F360,1)&lt;=TIME(0,25,0),0,MAX(0,(I360-F360)*1440)))</f>
        <v>0</v>
      </c>
      <c r="O360" s="25">
        <f>(N360/60)*VLOOKUP(C360,Employees!A:J,10,0)*1.5</f>
        <v>0</v>
      </c>
      <c r="P360" s="23">
        <f>IF(G360="غياب",VLOOKUP(C360,Employees!$A$3:$J$36,9,FALSE()),0)</f>
        <v>0</v>
      </c>
    </row>
    <row r="361" spans="1:16" ht="15" customHeight="1">
      <c r="A361" s="17" t="s">
        <v>104</v>
      </c>
      <c r="B361" s="19" t="s">
        <v>83</v>
      </c>
      <c r="C361" s="19" t="s">
        <v>24</v>
      </c>
      <c r="D361" s="19" t="str">
        <f>VLOOKUP(C361,Employees!A:J,2,0)</f>
        <v>طارق سعد</v>
      </c>
      <c r="E361" s="20"/>
      <c r="F361" s="20"/>
      <c r="G361" s="21" t="s">
        <v>69</v>
      </c>
      <c r="H361" s="20"/>
      <c r="I361" s="20"/>
      <c r="J361" s="22">
        <f t="shared" si="186"/>
        <v>0</v>
      </c>
      <c r="K361" s="47">
        <f>(J361/60)*VLOOKUP(C361,Employees!A:J,10,0)*1.5</f>
        <v>0</v>
      </c>
      <c r="L361" s="22">
        <f t="shared" si="187"/>
        <v>0</v>
      </c>
      <c r="M361" s="23">
        <f>(L361/60)*VLOOKUP(C361,Employees!A:J,10,0)*2</f>
        <v>0</v>
      </c>
      <c r="N361" s="24">
        <f t="shared" si="188"/>
        <v>0</v>
      </c>
      <c r="O361" s="25">
        <f>(N361/60)*VLOOKUP(C361,Employees!A:J,10,0)*1.5</f>
        <v>0</v>
      </c>
      <c r="P361" s="23">
        <f>IF(G361="غياب",VLOOKUP(C361,Employees!$A$3:$J$36,9,FALSE()),0)</f>
        <v>0</v>
      </c>
    </row>
    <row r="362" spans="1:16" ht="15" customHeight="1">
      <c r="A362" s="17" t="s">
        <v>105</v>
      </c>
      <c r="B362" s="19" t="s">
        <v>68</v>
      </c>
      <c r="C362" s="19" t="s">
        <v>24</v>
      </c>
      <c r="D362" s="19" t="str">
        <f>VLOOKUP(C362,Employees!A:J,2,0)</f>
        <v>طارق سعد</v>
      </c>
      <c r="E362" s="20"/>
      <c r="F362" s="20"/>
      <c r="G362" s="21" t="s">
        <v>69</v>
      </c>
      <c r="H362" s="20"/>
      <c r="I362" s="20"/>
      <c r="J362" s="22">
        <f t="shared" si="186"/>
        <v>0</v>
      </c>
      <c r="K362" s="47">
        <f>(J362/60)*VLOOKUP(C362,Employees!A:J,10,0)*1.5</f>
        <v>0</v>
      </c>
      <c r="L362" s="22">
        <f t="shared" si="187"/>
        <v>0</v>
      </c>
      <c r="M362" s="23">
        <f>(L362/60)*VLOOKUP(C362,Employees!A:J,10,0)*2</f>
        <v>0</v>
      </c>
      <c r="N362" s="24">
        <f t="shared" si="188"/>
        <v>0</v>
      </c>
      <c r="O362" s="25">
        <f>(N362/60)*VLOOKUP(C362,Employees!A:J,10,0)*1.5</f>
        <v>0</v>
      </c>
      <c r="P362" s="23">
        <f>IF(G362="غياب",VLOOKUP(C362,Employees!$A$3:$J$36,9,FALSE()),0)</f>
        <v>0</v>
      </c>
    </row>
    <row r="363" spans="1:16" ht="15" customHeight="1">
      <c r="A363" s="17" t="s">
        <v>106</v>
      </c>
      <c r="B363" s="19" t="s">
        <v>71</v>
      </c>
      <c r="C363" s="19" t="s">
        <v>24</v>
      </c>
      <c r="D363" s="19" t="str">
        <f>VLOOKUP(C363,Employees!A:J,2,0)</f>
        <v>طارق سعد</v>
      </c>
      <c r="E363" s="20"/>
      <c r="F363" s="20"/>
      <c r="G363" s="21" t="s">
        <v>69</v>
      </c>
      <c r="H363" s="20"/>
      <c r="I363" s="20"/>
      <c r="J363" s="22">
        <f t="shared" si="186"/>
        <v>0</v>
      </c>
      <c r="K363" s="47">
        <f>(J363/60)*VLOOKUP(C363,Employees!A:J,10,0)*1.5</f>
        <v>0</v>
      </c>
      <c r="L363" s="22">
        <f t="shared" si="187"/>
        <v>0</v>
      </c>
      <c r="M363" s="23">
        <f>(L363/60)*VLOOKUP(C363,Employees!A:J,10,0)*2</f>
        <v>0</v>
      </c>
      <c r="N363" s="24">
        <f t="shared" si="188"/>
        <v>0</v>
      </c>
      <c r="O363" s="25">
        <f>(N363/60)*VLOOKUP(C363,Employees!A:J,10,0)*1.5</f>
        <v>0</v>
      </c>
      <c r="P363" s="23">
        <f>IF(G363="غياب",VLOOKUP(C363,Employees!$A$3:$J$36,9,FALSE()),0)</f>
        <v>0</v>
      </c>
    </row>
    <row r="364" spans="1:16" ht="15" customHeight="1">
      <c r="A364" s="17" t="s">
        <v>67</v>
      </c>
      <c r="B364" s="19" t="s">
        <v>68</v>
      </c>
      <c r="C364" s="19" t="s">
        <v>27</v>
      </c>
      <c r="D364" s="19" t="str">
        <f>VLOOKUP(C364,Employees!A:J,2,0)</f>
        <v>مؤمن جاد</v>
      </c>
      <c r="E364" s="20">
        <v>0.45833333333333298</v>
      </c>
      <c r="F364" s="20">
        <v>0.875</v>
      </c>
      <c r="G364" s="21" t="s">
        <v>69</v>
      </c>
      <c r="H364" s="20">
        <v>0.53402777777777777</v>
      </c>
      <c r="I364" s="20">
        <v>0.91666666666666663</v>
      </c>
      <c r="J364" s="22">
        <f t="shared" si="186"/>
        <v>0</v>
      </c>
      <c r="K364" s="47">
        <f>(J364/60)*VLOOKUP(C364,Employees!A:J,10,0)*1.5</f>
        <v>0</v>
      </c>
      <c r="L364" s="22">
        <f t="shared" si="187"/>
        <v>109.00000000000051</v>
      </c>
      <c r="M364" s="23">
        <f>(L364/60)*VLOOKUP(C364,Employees!A:J,10,0)*2</f>
        <v>94.197530864197958</v>
      </c>
      <c r="N364" s="24">
        <f t="shared" si="188"/>
        <v>59.999999999999943</v>
      </c>
      <c r="O364" s="25">
        <f>(N364/60)*VLOOKUP(C364,Employees!A:J,10,0)*1.5</f>
        <v>38.88888888888885</v>
      </c>
      <c r="P364" s="23">
        <f>IF(G364="غياب",VLOOKUP(C364,Employees!$A$3:$J$36,9,FALSE()),0)</f>
        <v>0</v>
      </c>
    </row>
    <row r="365" spans="1:16" ht="15" customHeight="1">
      <c r="A365" s="17" t="s">
        <v>70</v>
      </c>
      <c r="B365" s="19" t="s">
        <v>71</v>
      </c>
      <c r="C365" s="19" t="s">
        <v>27</v>
      </c>
      <c r="D365" s="19" t="str">
        <f>VLOOKUP(C365,Employees!A:J,2,0)</f>
        <v>مؤمن جاد</v>
      </c>
      <c r="E365" s="20">
        <v>0.45833333333333298</v>
      </c>
      <c r="F365" s="20">
        <v>0.875</v>
      </c>
      <c r="G365" s="21" t="s">
        <v>69</v>
      </c>
      <c r="H365" s="20">
        <v>0.46666666666666667</v>
      </c>
      <c r="I365" s="20">
        <v>0.61944444444444446</v>
      </c>
      <c r="J365" s="22">
        <f t="shared" si="186"/>
        <v>0</v>
      </c>
      <c r="K365" s="47">
        <f>(J365/60)*VLOOKUP(C365,Employees!A:J,10,0)*1.5</f>
        <v>0</v>
      </c>
      <c r="L365" s="22">
        <f t="shared" si="187"/>
        <v>0</v>
      </c>
      <c r="M365" s="23">
        <f>(L365/60)*VLOOKUP(C365,Employees!A:J,10,0)*2</f>
        <v>0</v>
      </c>
      <c r="N365" s="24">
        <f t="shared" si="188"/>
        <v>0</v>
      </c>
      <c r="O365" s="25">
        <f>(N365/60)*VLOOKUP(C365,Employees!A:J,10,0)*1.5</f>
        <v>0</v>
      </c>
      <c r="P365" s="23">
        <f>IF(G365="غياب",VLOOKUP(C365,Employees!$A$3:$J$36,9,FALSE()),0)</f>
        <v>0</v>
      </c>
    </row>
    <row r="366" spans="1:16" ht="15" customHeight="1">
      <c r="A366" s="17" t="s">
        <v>72</v>
      </c>
      <c r="B366" s="19" t="s">
        <v>73</v>
      </c>
      <c r="C366" s="19" t="s">
        <v>27</v>
      </c>
      <c r="D366" s="19" t="str">
        <f>VLOOKUP(C366,Employees!A:J,2,0)</f>
        <v>مؤمن جاد</v>
      </c>
      <c r="E366" s="20">
        <v>0.45833333333333298</v>
      </c>
      <c r="F366" s="20">
        <v>0.875</v>
      </c>
      <c r="G366" s="21" t="s">
        <v>69</v>
      </c>
      <c r="H366" s="20">
        <v>0.5541666666666667</v>
      </c>
      <c r="I366" s="20">
        <v>0.9</v>
      </c>
      <c r="J366" s="22">
        <f t="shared" si="186"/>
        <v>0</v>
      </c>
      <c r="K366" s="47">
        <f>(J366/60)*VLOOKUP(C366,Employees!A:J,10,0)*1.5</f>
        <v>0</v>
      </c>
      <c r="L366" s="22">
        <f t="shared" si="187"/>
        <v>138.00000000000057</v>
      </c>
      <c r="M366" s="23">
        <f>(L366/60)*VLOOKUP(C366,Employees!A:J,10,0)*2</f>
        <v>119.25925925925975</v>
      </c>
      <c r="N366" s="24">
        <f t="shared" si="188"/>
        <v>36.000000000000028</v>
      </c>
      <c r="O366" s="25">
        <f>(N366/60)*VLOOKUP(C366,Employees!A:J,10,0)*1.5</f>
        <v>23.33333333333335</v>
      </c>
      <c r="P366" s="23">
        <f>IF(G366="غياب",VLOOKUP(C366,Employees!$A$3:$J$36,9,FALSE()),0)</f>
        <v>0</v>
      </c>
    </row>
    <row r="367" spans="1:16" ht="15" customHeight="1">
      <c r="A367" s="48" t="s">
        <v>74</v>
      </c>
      <c r="B367" s="49" t="s">
        <v>75</v>
      </c>
      <c r="C367" s="49" t="s">
        <v>27</v>
      </c>
      <c r="D367" s="49" t="str">
        <f>VLOOKUP(C367,Employees!A:J,2,0)</f>
        <v>مؤمن جاد</v>
      </c>
      <c r="E367" s="50">
        <v>0.45833333333333298</v>
      </c>
      <c r="F367" s="50">
        <v>0.875</v>
      </c>
      <c r="G367" s="51" t="s">
        <v>130</v>
      </c>
      <c r="H367" s="50" t="s">
        <v>78</v>
      </c>
      <c r="I367" s="50" t="s">
        <v>78</v>
      </c>
      <c r="J367" s="22">
        <f t="shared" si="186"/>
        <v>0</v>
      </c>
      <c r="K367" s="47">
        <f>(J367/60)*VLOOKUP(C367,Employees!A:J,10,0)*1.5</f>
        <v>0</v>
      </c>
      <c r="L367" s="22">
        <f t="shared" si="187"/>
        <v>0</v>
      </c>
      <c r="M367" s="23">
        <f>(L367/60)*VLOOKUP(C367,Employees!A:J,10,0)*2</f>
        <v>0</v>
      </c>
      <c r="N367" s="24">
        <f t="shared" si="188"/>
        <v>0</v>
      </c>
      <c r="O367" s="25">
        <f>(N367/60)*VLOOKUP(C367,Employees!A:J,10,0)*1.5</f>
        <v>0</v>
      </c>
      <c r="P367" s="23">
        <f>IF(G367="غياب",VLOOKUP(C367,Employees!$A$3:$J$36,9,FALSE()),0)</f>
        <v>259.25925925925924</v>
      </c>
    </row>
    <row r="368" spans="1:16" ht="15" customHeight="1">
      <c r="A368" s="26" t="s">
        <v>76</v>
      </c>
      <c r="B368" s="28" t="s">
        <v>77</v>
      </c>
      <c r="C368" s="28" t="s">
        <v>27</v>
      </c>
      <c r="D368" s="28" t="str">
        <f>VLOOKUP(C368,Employees!A:J,2,0)</f>
        <v>مؤمن جاد</v>
      </c>
      <c r="E368" s="29" t="s">
        <v>78</v>
      </c>
      <c r="F368" s="29" t="s">
        <v>78</v>
      </c>
      <c r="G368" s="27" t="s">
        <v>79</v>
      </c>
      <c r="H368" s="29" t="s">
        <v>78</v>
      </c>
      <c r="I368" s="29" t="s">
        <v>78</v>
      </c>
      <c r="J368" s="22" t="s">
        <v>78</v>
      </c>
      <c r="K368" s="47" t="s">
        <v>78</v>
      </c>
      <c r="L368" s="22" t="s">
        <v>78</v>
      </c>
      <c r="M368" s="23" t="s">
        <v>78</v>
      </c>
      <c r="N368" s="24" t="s">
        <v>78</v>
      </c>
      <c r="O368" s="24" t="s">
        <v>78</v>
      </c>
      <c r="P368" s="23">
        <f>IF(G368="غياب",VLOOKUP(C368,Employees!$A$3:$J$36,9,FALSE()),0)</f>
        <v>0</v>
      </c>
    </row>
    <row r="369" spans="1:16" ht="15" customHeight="1">
      <c r="A369" s="17" t="s">
        <v>80</v>
      </c>
      <c r="B369" s="19" t="s">
        <v>81</v>
      </c>
      <c r="C369" s="19" t="s">
        <v>27</v>
      </c>
      <c r="D369" s="19" t="str">
        <f>VLOOKUP(C369,Employees!A:J,2,0)</f>
        <v>مؤمن جاد</v>
      </c>
      <c r="E369" s="20">
        <v>0.45833333333333298</v>
      </c>
      <c r="F369" s="20">
        <v>0.875</v>
      </c>
      <c r="G369" s="21" t="s">
        <v>69</v>
      </c>
      <c r="H369" s="20">
        <v>0.52083333333333337</v>
      </c>
      <c r="I369" s="20">
        <v>0.87222222222222223</v>
      </c>
      <c r="J369" s="22">
        <f t="shared" ref="J369:J374" si="189">IF(OR(H369="",G369="غياب",G369="إجازة أسبوعية"),0,
IF(H369&gt;=E369-TIME(0,20,0),0,
IF(H369&gt;=E369-TIME(0,30,0),30,(E369-H369)*1440)))</f>
        <v>0</v>
      </c>
      <c r="K369" s="47">
        <f>(J369/60)*VLOOKUP(C369,Employees!A:J,10,0)*1.5</f>
        <v>0</v>
      </c>
      <c r="L369" s="22">
        <f t="shared" ref="L369:L374" si="190">IF(OR(H369="",G369="غياب",G369="إجازة أسبوعية"),0,
IF(H369&lt;=E369+TIME(0,30,0),0,
30+((H369-(E369+TIME(0,30,0)))*1440)))</f>
        <v>90.000000000000583</v>
      </c>
      <c r="M369" s="23">
        <f>(L369/60)*VLOOKUP(C369,Employees!A:J,10,0)*2</f>
        <v>77.777777777778283</v>
      </c>
      <c r="N369" s="24">
        <f t="shared" ref="N369:N374" si="191">IF(OR(I369="",G369="غياب",G369="إجازة أسبوعية",I369&lt;=F369),0,
IF(MOD(I369-F369,1)&lt;=TIME(0,25,0),0,MAX(0,(I369-F369)*1440)))</f>
        <v>0</v>
      </c>
      <c r="O369" s="25">
        <f>(N369/60)*VLOOKUP(C369,Employees!A:J,10,0)*1.5</f>
        <v>0</v>
      </c>
      <c r="P369" s="23">
        <f>IF(G369="غياب",VLOOKUP(C369,Employees!$A$3:$J$36,9,FALSE()),0)</f>
        <v>0</v>
      </c>
    </row>
    <row r="370" spans="1:16" ht="15" customHeight="1">
      <c r="A370" s="17" t="s">
        <v>82</v>
      </c>
      <c r="B370" s="19" t="s">
        <v>83</v>
      </c>
      <c r="C370" s="19" t="s">
        <v>27</v>
      </c>
      <c r="D370" s="19" t="str">
        <f>VLOOKUP(C370,Employees!A:J,2,0)</f>
        <v>مؤمن جاد</v>
      </c>
      <c r="E370" s="20">
        <v>0.45833333333333298</v>
      </c>
      <c r="F370" s="20">
        <v>0.875</v>
      </c>
      <c r="G370" s="21" t="s">
        <v>69</v>
      </c>
      <c r="H370" s="20">
        <v>0.54097222222222219</v>
      </c>
      <c r="I370" s="20">
        <v>0.7895833333333333</v>
      </c>
      <c r="J370" s="22">
        <f t="shared" si="189"/>
        <v>0</v>
      </c>
      <c r="K370" s="47">
        <f>(J370/60)*VLOOKUP(C370,Employees!A:J,10,0)*1.5</f>
        <v>0</v>
      </c>
      <c r="L370" s="22">
        <f t="shared" si="190"/>
        <v>119.00000000000048</v>
      </c>
      <c r="M370" s="23">
        <f>(L370/60)*VLOOKUP(C370,Employees!A:J,10,0)*2</f>
        <v>102.83950617283992</v>
      </c>
      <c r="N370" s="24">
        <f t="shared" si="191"/>
        <v>0</v>
      </c>
      <c r="O370" s="25">
        <f>(N370/60)*VLOOKUP(C370,Employees!A:J,10,0)*1.5</f>
        <v>0</v>
      </c>
      <c r="P370" s="23">
        <f>IF(G370="غياب",VLOOKUP(C370,Employees!$A$3:$J$36,9,FALSE()),0)</f>
        <v>0</v>
      </c>
    </row>
    <row r="371" spans="1:16" ht="15" customHeight="1">
      <c r="A371" s="17" t="s">
        <v>84</v>
      </c>
      <c r="B371" s="19" t="s">
        <v>68</v>
      </c>
      <c r="C371" s="19" t="s">
        <v>27</v>
      </c>
      <c r="D371" s="19" t="str">
        <f>VLOOKUP(C371,Employees!A:J,2,0)</f>
        <v>مؤمن جاد</v>
      </c>
      <c r="E371" s="20">
        <v>0.45833333333333298</v>
      </c>
      <c r="F371" s="20">
        <v>0.875</v>
      </c>
      <c r="G371" s="21" t="s">
        <v>69</v>
      </c>
      <c r="H371" s="20">
        <v>0.52083333333333337</v>
      </c>
      <c r="I371" s="20">
        <v>0.8881944444444444</v>
      </c>
      <c r="J371" s="22">
        <f t="shared" si="189"/>
        <v>0</v>
      </c>
      <c r="K371" s="47">
        <f>(J371/60)*VLOOKUP(C371,Employees!A:J,10,0)*1.5</f>
        <v>0</v>
      </c>
      <c r="L371" s="22">
        <f t="shared" si="190"/>
        <v>90.000000000000583</v>
      </c>
      <c r="M371" s="23">
        <f>(L371/60)*VLOOKUP(C371,Employees!A:J,10,0)*2</f>
        <v>77.777777777778283</v>
      </c>
      <c r="N371" s="24">
        <f t="shared" si="191"/>
        <v>0</v>
      </c>
      <c r="O371" s="25">
        <f>(N371/60)*VLOOKUP(C371,Employees!A:J,10,0)*1.5</f>
        <v>0</v>
      </c>
      <c r="P371" s="23">
        <f>IF(G371="غياب",VLOOKUP(C371,Employees!$A$3:$J$36,9,FALSE()),0)</f>
        <v>0</v>
      </c>
    </row>
    <row r="372" spans="1:16" ht="15" customHeight="1">
      <c r="A372" s="17" t="s">
        <v>85</v>
      </c>
      <c r="B372" s="19" t="s">
        <v>71</v>
      </c>
      <c r="C372" s="19" t="s">
        <v>27</v>
      </c>
      <c r="D372" s="19" t="str">
        <f>VLOOKUP(C372,Employees!A:J,2,0)</f>
        <v>مؤمن جاد</v>
      </c>
      <c r="E372" s="20">
        <v>0.45833333333333298</v>
      </c>
      <c r="F372" s="20">
        <v>0.875</v>
      </c>
      <c r="G372" s="21" t="s">
        <v>69</v>
      </c>
      <c r="H372" s="20">
        <v>0.54652777777777772</v>
      </c>
      <c r="I372" s="20">
        <v>0.8979166666666667</v>
      </c>
      <c r="J372" s="22">
        <f t="shared" si="189"/>
        <v>0</v>
      </c>
      <c r="K372" s="47">
        <f>(J372/60)*VLOOKUP(C372,Employees!A:J,10,0)*1.5</f>
        <v>0</v>
      </c>
      <c r="L372" s="22">
        <f t="shared" si="190"/>
        <v>127.00000000000045</v>
      </c>
      <c r="M372" s="23">
        <f>(L372/60)*VLOOKUP(C372,Employees!A:J,10,0)*2</f>
        <v>109.75308641975347</v>
      </c>
      <c r="N372" s="24">
        <f t="shared" si="191"/>
        <v>33.000000000000043</v>
      </c>
      <c r="O372" s="25">
        <f>(N372/60)*VLOOKUP(C372,Employees!A:J,10,0)*1.5</f>
        <v>21.388888888888914</v>
      </c>
      <c r="P372" s="23">
        <f>IF(G372="غياب",VLOOKUP(C372,Employees!$A$3:$J$36,9,FALSE()),0)</f>
        <v>0</v>
      </c>
    </row>
    <row r="373" spans="1:16" ht="15" customHeight="1">
      <c r="A373" s="17" t="s">
        <v>86</v>
      </c>
      <c r="B373" s="19" t="s">
        <v>73</v>
      </c>
      <c r="C373" s="19" t="s">
        <v>27</v>
      </c>
      <c r="D373" s="19" t="str">
        <f>VLOOKUP(C373,Employees!A:J,2,0)</f>
        <v>مؤمن جاد</v>
      </c>
      <c r="E373" s="20">
        <v>0.45833333333333298</v>
      </c>
      <c r="F373" s="20">
        <v>0.875</v>
      </c>
      <c r="G373" s="21" t="s">
        <v>69</v>
      </c>
      <c r="H373" s="20">
        <v>0.57291666666666663</v>
      </c>
      <c r="I373" s="20">
        <v>0.91597222222222219</v>
      </c>
      <c r="J373" s="22">
        <f t="shared" si="189"/>
        <v>0</v>
      </c>
      <c r="K373" s="47">
        <f>(J373/60)*VLOOKUP(C373,Employees!A:J,10,0)*1.5</f>
        <v>0</v>
      </c>
      <c r="L373" s="22">
        <f t="shared" si="190"/>
        <v>165.00000000000048</v>
      </c>
      <c r="M373" s="23">
        <f>(L373/60)*VLOOKUP(C373,Employees!A:J,10,0)*2</f>
        <v>142.59259259259301</v>
      </c>
      <c r="N373" s="24">
        <f t="shared" si="191"/>
        <v>58.99999999999995</v>
      </c>
      <c r="O373" s="25">
        <f>(N373/60)*VLOOKUP(C373,Employees!A:J,10,0)*1.5</f>
        <v>38.240740740740705</v>
      </c>
      <c r="P373" s="23">
        <f>IF(G373="غياب",VLOOKUP(C373,Employees!$A$3:$J$36,9,FALSE()),0)</f>
        <v>0</v>
      </c>
    </row>
    <row r="374" spans="1:16" ht="15" customHeight="1">
      <c r="A374" s="17" t="s">
        <v>87</v>
      </c>
      <c r="B374" s="19" t="s">
        <v>75</v>
      </c>
      <c r="C374" s="19" t="s">
        <v>27</v>
      </c>
      <c r="D374" s="19" t="str">
        <f>VLOOKUP(C374,Employees!A:J,2,0)</f>
        <v>مؤمن جاد</v>
      </c>
      <c r="E374" s="20">
        <v>0.5</v>
      </c>
      <c r="F374" s="20">
        <v>0.91666666666666696</v>
      </c>
      <c r="G374" s="21" t="s">
        <v>69</v>
      </c>
      <c r="H374" s="20">
        <v>0.55277777777777781</v>
      </c>
      <c r="I374" s="20">
        <v>0.7680555555555556</v>
      </c>
      <c r="J374" s="22">
        <f t="shared" si="189"/>
        <v>0</v>
      </c>
      <c r="K374" s="47">
        <f>(J374/60)*VLOOKUP(C374,Employees!A:J,10,0)*1.5</f>
        <v>0</v>
      </c>
      <c r="L374" s="22">
        <f t="shared" si="190"/>
        <v>76</v>
      </c>
      <c r="M374" s="23">
        <f>(L374/60)*VLOOKUP(C374,Employees!A:J,10,0)*2</f>
        <v>65.679012345678998</v>
      </c>
      <c r="N374" s="24">
        <f t="shared" si="191"/>
        <v>0</v>
      </c>
      <c r="O374" s="25">
        <f>(N374/60)*VLOOKUP(C374,Employees!A:J,10,0)*1.5</f>
        <v>0</v>
      </c>
      <c r="P374" s="23">
        <f>IF(G374="غياب",VLOOKUP(C374,Employees!$A$3:$J$36,9,FALSE()),0)</f>
        <v>0</v>
      </c>
    </row>
    <row r="375" spans="1:16" ht="15" customHeight="1">
      <c r="A375" s="26" t="s">
        <v>88</v>
      </c>
      <c r="B375" s="28" t="s">
        <v>77</v>
      </c>
      <c r="C375" s="28" t="s">
        <v>27</v>
      </c>
      <c r="D375" s="28" t="str">
        <f>VLOOKUP(C375,Employees!A:J,2,0)</f>
        <v>مؤمن جاد</v>
      </c>
      <c r="E375" s="29" t="s">
        <v>78</v>
      </c>
      <c r="F375" s="29" t="s">
        <v>78</v>
      </c>
      <c r="G375" s="27" t="s">
        <v>79</v>
      </c>
      <c r="H375" s="29" t="s">
        <v>78</v>
      </c>
      <c r="I375" s="29" t="s">
        <v>78</v>
      </c>
      <c r="J375" s="22" t="s">
        <v>78</v>
      </c>
      <c r="K375" s="47" t="s">
        <v>78</v>
      </c>
      <c r="L375" s="22" t="s">
        <v>78</v>
      </c>
      <c r="M375" s="23" t="s">
        <v>78</v>
      </c>
      <c r="N375" s="24" t="s">
        <v>78</v>
      </c>
      <c r="O375" s="24" t="s">
        <v>78</v>
      </c>
      <c r="P375" s="23">
        <f>IF(G375="غياب",VLOOKUP(C375,Employees!$A$3:$J$36,9,FALSE()),0)</f>
        <v>0</v>
      </c>
    </row>
    <row r="376" spans="1:16" ht="15" customHeight="1">
      <c r="A376" s="26" t="s">
        <v>89</v>
      </c>
      <c r="B376" s="28" t="s">
        <v>81</v>
      </c>
      <c r="C376" s="28" t="s">
        <v>27</v>
      </c>
      <c r="D376" s="28" t="str">
        <f>VLOOKUP(C376,Employees!A:J,2,0)</f>
        <v>مؤمن جاد</v>
      </c>
      <c r="E376" s="29" t="s">
        <v>78</v>
      </c>
      <c r="F376" s="29" t="s">
        <v>78</v>
      </c>
      <c r="G376" s="27" t="s">
        <v>79</v>
      </c>
      <c r="H376" s="29" t="s">
        <v>78</v>
      </c>
      <c r="I376" s="29" t="s">
        <v>78</v>
      </c>
      <c r="J376" s="22" t="s">
        <v>78</v>
      </c>
      <c r="K376" s="47" t="s">
        <v>78</v>
      </c>
      <c r="L376" s="22" t="s">
        <v>78</v>
      </c>
      <c r="M376" s="23" t="s">
        <v>78</v>
      </c>
      <c r="N376" s="24" t="s">
        <v>78</v>
      </c>
      <c r="O376" s="24" t="s">
        <v>78</v>
      </c>
      <c r="P376" s="23">
        <f>IF(G376="غياب",VLOOKUP(C376,Employees!$A$3:$J$36,9,FALSE()),0)</f>
        <v>0</v>
      </c>
    </row>
    <row r="377" spans="1:16" ht="15" customHeight="1">
      <c r="A377" s="17" t="s">
        <v>90</v>
      </c>
      <c r="B377" s="19" t="s">
        <v>83</v>
      </c>
      <c r="C377" s="19" t="s">
        <v>27</v>
      </c>
      <c r="D377" s="19" t="str">
        <f>VLOOKUP(C377,Employees!A:J,2,0)</f>
        <v>مؤمن جاد</v>
      </c>
      <c r="E377" s="20">
        <v>0.5</v>
      </c>
      <c r="F377" s="20">
        <v>0.91666666666666696</v>
      </c>
      <c r="G377" s="21" t="s">
        <v>69</v>
      </c>
      <c r="H377" s="20">
        <v>0.52708333333333335</v>
      </c>
      <c r="I377" s="20">
        <v>0.75138888888888888</v>
      </c>
      <c r="J377" s="22">
        <f t="shared" ref="J377:J381" si="192">IF(OR(H377="",G377="غياب",G377="إجازة أسبوعية"),0,
IF(H377&gt;=E377-TIME(0,20,0),0,
IF(H377&gt;=E377-TIME(0,30,0),30,(E377-H377)*1440)))</f>
        <v>0</v>
      </c>
      <c r="K377" s="47">
        <f>(J377/60)*VLOOKUP(C377,Employees!A:J,10,0)*1.5</f>
        <v>0</v>
      </c>
      <c r="L377" s="22">
        <f t="shared" ref="L377:L381" si="193">IF(OR(H377="",G377="غياب",G377="إجازة أسبوعية"),0,
IF(H377&lt;=E377+TIME(0,30,0),0,
30+((H377-(E377+TIME(0,30,0)))*1440)))</f>
        <v>38.999999999999972</v>
      </c>
      <c r="M377" s="23">
        <f>(L377/60)*VLOOKUP(C377,Employees!A:J,10,0)*2</f>
        <v>33.703703703703681</v>
      </c>
      <c r="N377" s="24">
        <f t="shared" ref="N377:N381" si="194">IF(OR(I377="",G377="غياب",G377="إجازة أسبوعية",I377&lt;=F377),0,
IF(MOD(I377-F377,1)&lt;=TIME(0,25,0),0,MAX(0,(I377-F377)*1440)))</f>
        <v>0</v>
      </c>
      <c r="O377" s="25">
        <f>(N377/60)*VLOOKUP(C377,Employees!A:J,10,0)*1.5</f>
        <v>0</v>
      </c>
      <c r="P377" s="23">
        <f>IF(G377="غياب",VLOOKUP(C377,Employees!$A$3:$J$36,9,FALSE()),0)</f>
        <v>0</v>
      </c>
    </row>
    <row r="378" spans="1:16" ht="15" customHeight="1">
      <c r="A378" s="17" t="s">
        <v>91</v>
      </c>
      <c r="B378" s="19" t="s">
        <v>68</v>
      </c>
      <c r="C378" s="19" t="s">
        <v>27</v>
      </c>
      <c r="D378" s="19" t="str">
        <f>VLOOKUP(C378,Employees!A:J,2,0)</f>
        <v>مؤمن جاد</v>
      </c>
      <c r="E378" s="20">
        <v>0.5</v>
      </c>
      <c r="F378" s="20">
        <v>0.91666666666666696</v>
      </c>
      <c r="G378" s="21" t="s">
        <v>69</v>
      </c>
      <c r="H378" s="20">
        <v>0.52152777777777781</v>
      </c>
      <c r="I378" s="20">
        <v>0.9243055555555556</v>
      </c>
      <c r="J378" s="22">
        <f t="shared" si="192"/>
        <v>0</v>
      </c>
      <c r="K378" s="47">
        <f>(J378/60)*VLOOKUP(C378,Employees!A:J,10,0)*1.5</f>
        <v>0</v>
      </c>
      <c r="L378" s="22">
        <f t="shared" si="193"/>
        <v>30.999999999999996</v>
      </c>
      <c r="M378" s="23">
        <f>(L378/60)*VLOOKUP(C378,Employees!A:J,10,0)*2</f>
        <v>26.79012345679012</v>
      </c>
      <c r="N378" s="24">
        <f t="shared" si="194"/>
        <v>0</v>
      </c>
      <c r="O378" s="25">
        <f>(N378/60)*VLOOKUP(C378,Employees!A:J,10,0)*1.5</f>
        <v>0</v>
      </c>
      <c r="P378" s="23">
        <f>IF(G378="غياب",VLOOKUP(C378,Employees!$A$3:$J$36,9,FALSE()),0)</f>
        <v>0</v>
      </c>
    </row>
    <row r="379" spans="1:16" ht="15" customHeight="1">
      <c r="A379" s="17" t="s">
        <v>92</v>
      </c>
      <c r="B379" s="19" t="s">
        <v>71</v>
      </c>
      <c r="C379" s="19" t="s">
        <v>27</v>
      </c>
      <c r="D379" s="19" t="str">
        <f>VLOOKUP(C379,Employees!A:J,2,0)</f>
        <v>مؤمن جاد</v>
      </c>
      <c r="E379" s="20">
        <v>0.5</v>
      </c>
      <c r="F379" s="20">
        <v>0.91666666666666696</v>
      </c>
      <c r="G379" s="21" t="s">
        <v>69</v>
      </c>
      <c r="H379" s="20">
        <v>0.54513888888888884</v>
      </c>
      <c r="I379" s="20">
        <v>0.91597222222222219</v>
      </c>
      <c r="J379" s="22">
        <f t="shared" si="192"/>
        <v>0</v>
      </c>
      <c r="K379" s="47">
        <f>(J379/60)*VLOOKUP(C379,Employees!A:J,10,0)*1.5</f>
        <v>0</v>
      </c>
      <c r="L379" s="22">
        <f t="shared" si="193"/>
        <v>64.999999999999872</v>
      </c>
      <c r="M379" s="23">
        <f>(L379/60)*VLOOKUP(C379,Employees!A:J,10,0)*2</f>
        <v>56.172839506172728</v>
      </c>
      <c r="N379" s="24">
        <f t="shared" si="194"/>
        <v>0</v>
      </c>
      <c r="O379" s="25">
        <f>(N379/60)*VLOOKUP(C379,Employees!A:J,10,0)*1.5</f>
        <v>0</v>
      </c>
      <c r="P379" s="23">
        <f>IF(G379="غياب",VLOOKUP(C379,Employees!$A$3:$J$36,9,FALSE()),0)</f>
        <v>0</v>
      </c>
    </row>
    <row r="380" spans="1:16" ht="15" customHeight="1">
      <c r="A380" s="17" t="s">
        <v>93</v>
      </c>
      <c r="B380" s="19" t="s">
        <v>73</v>
      </c>
      <c r="C380" s="19" t="s">
        <v>27</v>
      </c>
      <c r="D380" s="19" t="str">
        <f>VLOOKUP(C380,Employees!A:J,2,0)</f>
        <v>مؤمن جاد</v>
      </c>
      <c r="E380" s="20">
        <v>0.5</v>
      </c>
      <c r="F380" s="20">
        <v>0.91666666666666696</v>
      </c>
      <c r="G380" s="21" t="s">
        <v>69</v>
      </c>
      <c r="H380" s="20">
        <v>0.55277777777777781</v>
      </c>
      <c r="I380" s="20">
        <v>0.90763888888888888</v>
      </c>
      <c r="J380" s="22">
        <f t="shared" si="192"/>
        <v>0</v>
      </c>
      <c r="K380" s="47">
        <f>(J380/60)*VLOOKUP(C380,Employees!A:J,10,0)*1.5</f>
        <v>0</v>
      </c>
      <c r="L380" s="22">
        <f t="shared" si="193"/>
        <v>76</v>
      </c>
      <c r="M380" s="23">
        <f>(L380/60)*VLOOKUP(C380,Employees!A:J,10,0)*2</f>
        <v>65.679012345678998</v>
      </c>
      <c r="N380" s="24">
        <f t="shared" si="194"/>
        <v>0</v>
      </c>
      <c r="O380" s="25">
        <f>(N380/60)*VLOOKUP(C380,Employees!A:J,10,0)*1.5</f>
        <v>0</v>
      </c>
      <c r="P380" s="23">
        <f>IF(G380="غياب",VLOOKUP(C380,Employees!$A$3:$J$36,9,FALSE()),0)</f>
        <v>0</v>
      </c>
    </row>
    <row r="381" spans="1:16" ht="15" customHeight="1">
      <c r="A381" s="17" t="s">
        <v>94</v>
      </c>
      <c r="B381" s="19" t="s">
        <v>75</v>
      </c>
      <c r="C381" s="19" t="s">
        <v>27</v>
      </c>
      <c r="D381" s="19" t="str">
        <f>VLOOKUP(C381,Employees!A:J,2,0)</f>
        <v>مؤمن جاد</v>
      </c>
      <c r="E381" s="20">
        <v>0.5</v>
      </c>
      <c r="F381" s="20">
        <v>0.91666666666666696</v>
      </c>
      <c r="G381" s="21" t="s">
        <v>69</v>
      </c>
      <c r="H381" s="20">
        <v>0.48958333333333331</v>
      </c>
      <c r="I381" s="20">
        <v>0.72638888888888886</v>
      </c>
      <c r="J381" s="22">
        <f t="shared" si="192"/>
        <v>0</v>
      </c>
      <c r="K381" s="47">
        <f>(J381/60)*VLOOKUP(C381,Employees!A:J,10,0)*1.5</f>
        <v>0</v>
      </c>
      <c r="L381" s="22">
        <f t="shared" si="193"/>
        <v>0</v>
      </c>
      <c r="M381" s="23">
        <f>(L381/60)*VLOOKUP(C381,Employees!A:J,10,0)*2</f>
        <v>0</v>
      </c>
      <c r="N381" s="24">
        <f t="shared" si="194"/>
        <v>0</v>
      </c>
      <c r="O381" s="25">
        <f>(N381/60)*VLOOKUP(C381,Employees!A:J,10,0)*1.5</f>
        <v>0</v>
      </c>
      <c r="P381" s="23">
        <f>IF(G381="غياب",VLOOKUP(C381,Employees!$A$3:$J$36,9,FALSE()),0)</f>
        <v>0</v>
      </c>
    </row>
    <row r="382" spans="1:16" ht="15" customHeight="1">
      <c r="A382" s="26" t="s">
        <v>95</v>
      </c>
      <c r="B382" s="28" t="s">
        <v>77</v>
      </c>
      <c r="C382" s="28" t="s">
        <v>27</v>
      </c>
      <c r="D382" s="28" t="str">
        <f>VLOOKUP(C382,Employees!A:J,2,0)</f>
        <v>مؤمن جاد</v>
      </c>
      <c r="E382" s="29" t="s">
        <v>78</v>
      </c>
      <c r="F382" s="29" t="s">
        <v>78</v>
      </c>
      <c r="G382" s="27" t="s">
        <v>79</v>
      </c>
      <c r="H382" s="29" t="s">
        <v>78</v>
      </c>
      <c r="I382" s="29" t="s">
        <v>78</v>
      </c>
      <c r="J382" s="22" t="s">
        <v>78</v>
      </c>
      <c r="K382" s="47" t="s">
        <v>78</v>
      </c>
      <c r="L382" s="22" t="s">
        <v>78</v>
      </c>
      <c r="M382" s="23" t="s">
        <v>78</v>
      </c>
      <c r="N382" s="24" t="s">
        <v>78</v>
      </c>
      <c r="O382" s="24" t="s">
        <v>78</v>
      </c>
      <c r="P382" s="23">
        <f>IF(G382="غياب",VLOOKUP(C382,Employees!$A$3:$J$36,9,FALSE()),0)</f>
        <v>0</v>
      </c>
    </row>
    <row r="383" spans="1:16" ht="15" customHeight="1">
      <c r="A383" s="17" t="s">
        <v>96</v>
      </c>
      <c r="B383" s="19" t="s">
        <v>81</v>
      </c>
      <c r="C383" s="19" t="s">
        <v>27</v>
      </c>
      <c r="D383" s="19" t="str">
        <f>VLOOKUP(C383,Employees!A:J,2,0)</f>
        <v>مؤمن جاد</v>
      </c>
      <c r="E383" s="20">
        <v>0.5</v>
      </c>
      <c r="F383" s="30">
        <v>0.875</v>
      </c>
      <c r="G383" s="21" t="s">
        <v>69</v>
      </c>
      <c r="H383" s="20">
        <v>0.52916666666666667</v>
      </c>
      <c r="I383" s="20">
        <v>0.9145833333333333</v>
      </c>
      <c r="J383" s="22">
        <f t="shared" ref="J383:J388" si="195">IF(OR(H383="",G383="غياب",G383="إجازة أسبوعية"),0,
IF(H383&gt;=E383-TIME(0,20,0),0,
IF(H383&gt;=E383-TIME(0,30,0),30,(E383-H383)*1440)))</f>
        <v>0</v>
      </c>
      <c r="K383" s="47">
        <f>(J383/60)*VLOOKUP(C383,Employees!A:J,10,0)*1.5</f>
        <v>0</v>
      </c>
      <c r="L383" s="22">
        <f t="shared" ref="L383:L388" si="196">IF(OR(H383="",G383="غياب",G383="إجازة أسبوعية"),0,
IF(H383&lt;=E383+TIME(0,30,0),0,
30+((H383-(E383+TIME(0,30,0)))*1440)))</f>
        <v>41.999999999999957</v>
      </c>
      <c r="M383" s="23">
        <f>(L383/60)*VLOOKUP(C383,Employees!A:J,10,0)*2</f>
        <v>36.296296296296255</v>
      </c>
      <c r="N383" s="24">
        <f t="shared" ref="N383:N388" si="197">IF(OR(I383="",G383="غياب",G383="إجازة أسبوعية",I383&lt;=F383),0,
IF(MOD(I383-F383,1)&lt;=TIME(0,25,0),0,MAX(0,(I383-F383)*1440)))</f>
        <v>56.999999999999957</v>
      </c>
      <c r="O383" s="25">
        <f>(N383/60)*VLOOKUP(C383,Employees!A:J,10,0)*1.5</f>
        <v>36.944444444444414</v>
      </c>
      <c r="P383" s="23">
        <f>IF(G383="غياب",VLOOKUP(C383,Employees!$A$3:$J$36,9,FALSE()),0)</f>
        <v>0</v>
      </c>
    </row>
    <row r="384" spans="1:16" ht="15" customHeight="1">
      <c r="A384" s="48" t="s">
        <v>97</v>
      </c>
      <c r="B384" s="49" t="s">
        <v>83</v>
      </c>
      <c r="C384" s="49" t="s">
        <v>27</v>
      </c>
      <c r="D384" s="49" t="str">
        <f>VLOOKUP(C384,Employees!A:J,2,0)</f>
        <v>مؤمن جاد</v>
      </c>
      <c r="E384" s="50">
        <v>0.5</v>
      </c>
      <c r="F384" s="53">
        <v>0.875</v>
      </c>
      <c r="G384" s="51" t="s">
        <v>130</v>
      </c>
      <c r="H384" s="50" t="s">
        <v>78</v>
      </c>
      <c r="I384" s="50" t="s">
        <v>78</v>
      </c>
      <c r="J384" s="22">
        <f t="shared" si="195"/>
        <v>0</v>
      </c>
      <c r="K384" s="47">
        <f>(J384/60)*VLOOKUP(C384,Employees!A:J,10,0)*1.5</f>
        <v>0</v>
      </c>
      <c r="L384" s="22">
        <f t="shared" si="196"/>
        <v>0</v>
      </c>
      <c r="M384" s="23">
        <f>(L384/60)*VLOOKUP(C384,Employees!A:J,10,0)*2</f>
        <v>0</v>
      </c>
      <c r="N384" s="24">
        <f t="shared" si="197"/>
        <v>0</v>
      </c>
      <c r="O384" s="25">
        <f>(N384/60)*VLOOKUP(C384,Employees!A:J,10,0)*1.5</f>
        <v>0</v>
      </c>
      <c r="P384" s="23">
        <f>IF(G384="غياب",VLOOKUP(C384,Employees!$A$3:$J$36,9,FALSE()),0)</f>
        <v>259.25925925925924</v>
      </c>
    </row>
    <row r="385" spans="1:16" ht="15" customHeight="1">
      <c r="A385" s="48" t="s">
        <v>98</v>
      </c>
      <c r="B385" s="49" t="s">
        <v>68</v>
      </c>
      <c r="C385" s="49" t="s">
        <v>27</v>
      </c>
      <c r="D385" s="49" t="str">
        <f>VLOOKUP(C385,Employees!A:J,2,0)</f>
        <v>مؤمن جاد</v>
      </c>
      <c r="E385" s="50">
        <v>0.5</v>
      </c>
      <c r="F385" s="53">
        <v>0.875</v>
      </c>
      <c r="G385" s="51" t="s">
        <v>130</v>
      </c>
      <c r="H385" s="50" t="s">
        <v>78</v>
      </c>
      <c r="I385" s="50" t="s">
        <v>78</v>
      </c>
      <c r="J385" s="22">
        <f t="shared" si="195"/>
        <v>0</v>
      </c>
      <c r="K385" s="47">
        <f>(J385/60)*VLOOKUP(C385,Employees!A:J,10,0)*1.5</f>
        <v>0</v>
      </c>
      <c r="L385" s="22">
        <f t="shared" si="196"/>
        <v>0</v>
      </c>
      <c r="M385" s="23">
        <f>(L385/60)*VLOOKUP(C385,Employees!A:J,10,0)*2</f>
        <v>0</v>
      </c>
      <c r="N385" s="24">
        <f t="shared" si="197"/>
        <v>0</v>
      </c>
      <c r="O385" s="25">
        <f>(N385/60)*VLOOKUP(C385,Employees!A:J,10,0)*1.5</f>
        <v>0</v>
      </c>
      <c r="P385" s="23">
        <f>IF(G385="غياب",VLOOKUP(C385,Employees!$A$3:$J$36,9,FALSE()),0)</f>
        <v>259.25925925925924</v>
      </c>
    </row>
    <row r="386" spans="1:16" ht="15" customHeight="1">
      <c r="A386" s="48" t="s">
        <v>99</v>
      </c>
      <c r="B386" s="49" t="s">
        <v>71</v>
      </c>
      <c r="C386" s="49" t="s">
        <v>27</v>
      </c>
      <c r="D386" s="49" t="str">
        <f>VLOOKUP(C386,Employees!A:J,2,0)</f>
        <v>مؤمن جاد</v>
      </c>
      <c r="E386" s="50">
        <v>0.5</v>
      </c>
      <c r="F386" s="53">
        <v>0.875</v>
      </c>
      <c r="G386" s="51" t="s">
        <v>130</v>
      </c>
      <c r="H386" s="50" t="s">
        <v>78</v>
      </c>
      <c r="I386" s="50" t="s">
        <v>78</v>
      </c>
      <c r="J386" s="22">
        <f t="shared" si="195"/>
        <v>0</v>
      </c>
      <c r="K386" s="47">
        <f>(J386/60)*VLOOKUP(C386,Employees!A:J,10,0)*1.5</f>
        <v>0</v>
      </c>
      <c r="L386" s="22">
        <f t="shared" si="196"/>
        <v>0</v>
      </c>
      <c r="M386" s="23">
        <f>(L386/60)*VLOOKUP(C386,Employees!A:J,10,0)*2</f>
        <v>0</v>
      </c>
      <c r="N386" s="24">
        <f t="shared" si="197"/>
        <v>0</v>
      </c>
      <c r="O386" s="25">
        <f>(N386/60)*VLOOKUP(C386,Employees!A:J,10,0)*1.5</f>
        <v>0</v>
      </c>
      <c r="P386" s="23">
        <f>IF(G386="غياب",VLOOKUP(C386,Employees!$A$3:$J$36,9,FALSE()),0)</f>
        <v>259.25925925925924</v>
      </c>
    </row>
    <row r="387" spans="1:16" ht="15" customHeight="1">
      <c r="A387" s="48" t="s">
        <v>100</v>
      </c>
      <c r="B387" s="49" t="s">
        <v>73</v>
      </c>
      <c r="C387" s="49" t="s">
        <v>27</v>
      </c>
      <c r="D387" s="49" t="str">
        <f>VLOOKUP(C387,Employees!A:J,2,0)</f>
        <v>مؤمن جاد</v>
      </c>
      <c r="E387" s="50">
        <v>0.5</v>
      </c>
      <c r="F387" s="53">
        <v>0.875</v>
      </c>
      <c r="G387" s="51" t="s">
        <v>130</v>
      </c>
      <c r="H387" s="50" t="s">
        <v>78</v>
      </c>
      <c r="I387" s="50" t="s">
        <v>78</v>
      </c>
      <c r="J387" s="22">
        <f t="shared" si="195"/>
        <v>0</v>
      </c>
      <c r="K387" s="47">
        <f>(J387/60)*VLOOKUP(C387,Employees!A:J,10,0)*1.5</f>
        <v>0</v>
      </c>
      <c r="L387" s="22">
        <f t="shared" si="196"/>
        <v>0</v>
      </c>
      <c r="M387" s="23">
        <f>(L387/60)*VLOOKUP(C387,Employees!A:J,10,0)*2</f>
        <v>0</v>
      </c>
      <c r="N387" s="24">
        <f t="shared" si="197"/>
        <v>0</v>
      </c>
      <c r="O387" s="25">
        <f>(N387/60)*VLOOKUP(C387,Employees!A:J,10,0)*1.5</f>
        <v>0</v>
      </c>
      <c r="P387" s="23">
        <f>IF(G387="غياب",VLOOKUP(C387,Employees!$A$3:$J$36,9,FALSE()),0)</f>
        <v>259.25925925925924</v>
      </c>
    </row>
    <row r="388" spans="1:16" ht="15" customHeight="1">
      <c r="A388" s="48" t="s">
        <v>101</v>
      </c>
      <c r="B388" s="49" t="s">
        <v>75</v>
      </c>
      <c r="C388" s="49" t="s">
        <v>27</v>
      </c>
      <c r="D388" s="49" t="str">
        <f>VLOOKUP(C388,Employees!A:J,2,0)</f>
        <v>مؤمن جاد</v>
      </c>
      <c r="E388" s="50">
        <v>0.5</v>
      </c>
      <c r="F388" s="53">
        <v>0.875</v>
      </c>
      <c r="G388" s="51" t="s">
        <v>130</v>
      </c>
      <c r="H388" s="50" t="s">
        <v>78</v>
      </c>
      <c r="I388" s="50" t="s">
        <v>78</v>
      </c>
      <c r="J388" s="22">
        <f t="shared" si="195"/>
        <v>0</v>
      </c>
      <c r="K388" s="47">
        <f>(J388/60)*VLOOKUP(C388,Employees!A:J,10,0)*1.5</f>
        <v>0</v>
      </c>
      <c r="L388" s="22">
        <f t="shared" si="196"/>
        <v>0</v>
      </c>
      <c r="M388" s="23">
        <f>(L388/60)*VLOOKUP(C388,Employees!A:J,10,0)*2</f>
        <v>0</v>
      </c>
      <c r="N388" s="24">
        <f t="shared" si="197"/>
        <v>0</v>
      </c>
      <c r="O388" s="25">
        <f>(N388/60)*VLOOKUP(C388,Employees!A:J,10,0)*1.5</f>
        <v>0</v>
      </c>
      <c r="P388" s="23">
        <f>IF(G388="غياب",VLOOKUP(C388,Employees!$A$3:$J$36,9,FALSE()),0)</f>
        <v>259.25925925925924</v>
      </c>
    </row>
    <row r="389" spans="1:16" ht="15" customHeight="1">
      <c r="A389" s="26" t="s">
        <v>102</v>
      </c>
      <c r="B389" s="28" t="s">
        <v>77</v>
      </c>
      <c r="C389" s="28" t="s">
        <v>27</v>
      </c>
      <c r="D389" s="28" t="str">
        <f>VLOOKUP(C389,Employees!A:J,2,0)</f>
        <v>مؤمن جاد</v>
      </c>
      <c r="E389" s="29" t="s">
        <v>78</v>
      </c>
      <c r="F389" s="29" t="s">
        <v>78</v>
      </c>
      <c r="G389" s="27" t="s">
        <v>79</v>
      </c>
      <c r="H389" s="29" t="s">
        <v>78</v>
      </c>
      <c r="I389" s="29" t="s">
        <v>78</v>
      </c>
      <c r="J389" s="22" t="s">
        <v>78</v>
      </c>
      <c r="K389" s="47" t="s">
        <v>78</v>
      </c>
      <c r="L389" s="22" t="s">
        <v>78</v>
      </c>
      <c r="M389" s="23" t="s">
        <v>78</v>
      </c>
      <c r="N389" s="24" t="s">
        <v>78</v>
      </c>
      <c r="O389" s="24" t="s">
        <v>78</v>
      </c>
      <c r="P389" s="23">
        <f>IF(G389="غياب",VLOOKUP(C389,Employees!$A$3:$J$36,9,FALSE()),0)</f>
        <v>0</v>
      </c>
    </row>
    <row r="390" spans="1:16" ht="15" customHeight="1">
      <c r="A390" s="48" t="s">
        <v>103</v>
      </c>
      <c r="B390" s="49" t="s">
        <v>81</v>
      </c>
      <c r="C390" s="49" t="s">
        <v>27</v>
      </c>
      <c r="D390" s="49" t="str">
        <f>VLOOKUP(C390,Employees!A:J,2,0)</f>
        <v>مؤمن جاد</v>
      </c>
      <c r="E390" s="50">
        <v>0.5</v>
      </c>
      <c r="F390" s="53">
        <v>0.875</v>
      </c>
      <c r="G390" s="51" t="s">
        <v>130</v>
      </c>
      <c r="H390" s="50" t="s">
        <v>78</v>
      </c>
      <c r="I390" s="50" t="s">
        <v>78</v>
      </c>
      <c r="J390" s="22">
        <f t="shared" ref="J390:J397" si="198">IF(OR(H390="",G390="غياب",G390="إجازة أسبوعية"),0,
IF(H390&gt;=E390-TIME(0,20,0),0,
IF(H390&gt;=E390-TIME(0,30,0),30,(E390-H390)*1440)))</f>
        <v>0</v>
      </c>
      <c r="K390" s="47">
        <f>(J390/60)*VLOOKUP(C390,Employees!A:J,10,0)*1.5</f>
        <v>0</v>
      </c>
      <c r="L390" s="22">
        <f t="shared" ref="L390:L397" si="199">IF(OR(H390="",G390="غياب",G390="إجازة أسبوعية"),0,
IF(H390&lt;=E390+TIME(0,30,0),0,
30+((H390-(E390+TIME(0,30,0)))*1440)))</f>
        <v>0</v>
      </c>
      <c r="M390" s="23">
        <f>(L390/60)*VLOOKUP(C390,Employees!A:J,10,0)*2</f>
        <v>0</v>
      </c>
      <c r="N390" s="24">
        <f t="shared" ref="N390:N397" si="200">IF(OR(I390="",G390="غياب",G390="إجازة أسبوعية",I390&lt;=F390),0,
IF(MOD(I390-F390,1)&lt;=TIME(0,25,0),0,MAX(0,(I390-F390)*1440)))</f>
        <v>0</v>
      </c>
      <c r="O390" s="25">
        <f>(N390/60)*VLOOKUP(C390,Employees!A:J,10,0)*1.5</f>
        <v>0</v>
      </c>
      <c r="P390" s="23">
        <f>IF(G390="غياب",VLOOKUP(C390,Employees!$A$3:$J$36,9,FALSE()),0)</f>
        <v>259.25925925925924</v>
      </c>
    </row>
    <row r="391" spans="1:16" ht="15" customHeight="1">
      <c r="A391" s="48" t="s">
        <v>104</v>
      </c>
      <c r="B391" s="49" t="s">
        <v>83</v>
      </c>
      <c r="C391" s="49" t="s">
        <v>27</v>
      </c>
      <c r="D391" s="49" t="str">
        <f>VLOOKUP(C391,Employees!A:J,2,0)</f>
        <v>مؤمن جاد</v>
      </c>
      <c r="E391" s="50">
        <v>0.5</v>
      </c>
      <c r="F391" s="53">
        <v>0.875</v>
      </c>
      <c r="G391" s="51" t="s">
        <v>130</v>
      </c>
      <c r="H391" s="50" t="s">
        <v>78</v>
      </c>
      <c r="I391" s="50" t="s">
        <v>78</v>
      </c>
      <c r="J391" s="22">
        <f t="shared" si="198"/>
        <v>0</v>
      </c>
      <c r="K391" s="47">
        <f>(J391/60)*VLOOKUP(C391,Employees!A:J,10,0)*1.5</f>
        <v>0</v>
      </c>
      <c r="L391" s="22">
        <f t="shared" si="199"/>
        <v>0</v>
      </c>
      <c r="M391" s="23">
        <f>(L391/60)*VLOOKUP(C391,Employees!A:J,10,0)*2</f>
        <v>0</v>
      </c>
      <c r="N391" s="24">
        <f t="shared" si="200"/>
        <v>0</v>
      </c>
      <c r="O391" s="25">
        <f>(N391/60)*VLOOKUP(C391,Employees!A:J,10,0)*1.5</f>
        <v>0</v>
      </c>
      <c r="P391" s="23">
        <f>IF(G391="غياب",VLOOKUP(C391,Employees!$A$3:$J$36,9,FALSE()),0)</f>
        <v>259.25925925925924</v>
      </c>
    </row>
    <row r="392" spans="1:16" ht="15" customHeight="1">
      <c r="A392" s="48" t="s">
        <v>105</v>
      </c>
      <c r="B392" s="49" t="s">
        <v>68</v>
      </c>
      <c r="C392" s="49" t="s">
        <v>27</v>
      </c>
      <c r="D392" s="49" t="str">
        <f>VLOOKUP(C392,Employees!A:J,2,0)</f>
        <v>مؤمن جاد</v>
      </c>
      <c r="E392" s="50">
        <v>0.5</v>
      </c>
      <c r="F392" s="53">
        <v>0.875</v>
      </c>
      <c r="G392" s="51" t="s">
        <v>130</v>
      </c>
      <c r="H392" s="50" t="s">
        <v>78</v>
      </c>
      <c r="I392" s="50" t="s">
        <v>78</v>
      </c>
      <c r="J392" s="22">
        <f t="shared" si="198"/>
        <v>0</v>
      </c>
      <c r="K392" s="47">
        <f>(J392/60)*VLOOKUP(C392,Employees!A:J,10,0)*1.5</f>
        <v>0</v>
      </c>
      <c r="L392" s="22">
        <f t="shared" si="199"/>
        <v>0</v>
      </c>
      <c r="M392" s="23">
        <f>(L392/60)*VLOOKUP(C392,Employees!A:J,10,0)*2</f>
        <v>0</v>
      </c>
      <c r="N392" s="24">
        <f t="shared" si="200"/>
        <v>0</v>
      </c>
      <c r="O392" s="25">
        <f>(N392/60)*VLOOKUP(C392,Employees!A:J,10,0)*1.5</f>
        <v>0</v>
      </c>
      <c r="P392" s="23">
        <f>IF(G392="غياب",VLOOKUP(C392,Employees!$A$3:$J$36,9,FALSE()),0)</f>
        <v>259.25925925925924</v>
      </c>
    </row>
    <row r="393" spans="1:16" ht="15" customHeight="1">
      <c r="A393" s="48" t="s">
        <v>106</v>
      </c>
      <c r="B393" s="49" t="s">
        <v>71</v>
      </c>
      <c r="C393" s="49" t="s">
        <v>27</v>
      </c>
      <c r="D393" s="49" t="str">
        <f>VLOOKUP(C393,Employees!A:J,2,0)</f>
        <v>مؤمن جاد</v>
      </c>
      <c r="E393" s="50">
        <v>0.5</v>
      </c>
      <c r="F393" s="53">
        <v>0.875</v>
      </c>
      <c r="G393" s="51" t="s">
        <v>130</v>
      </c>
      <c r="H393" s="50" t="s">
        <v>78</v>
      </c>
      <c r="I393" s="50" t="s">
        <v>78</v>
      </c>
      <c r="J393" s="22">
        <f t="shared" si="198"/>
        <v>0</v>
      </c>
      <c r="K393" s="47">
        <f>(J393/60)*VLOOKUP(C393,Employees!A:J,10,0)*1.5</f>
        <v>0</v>
      </c>
      <c r="L393" s="22">
        <f t="shared" si="199"/>
        <v>0</v>
      </c>
      <c r="M393" s="23">
        <f>(L393/60)*VLOOKUP(C393,Employees!A:J,10,0)*2</f>
        <v>0</v>
      </c>
      <c r="N393" s="24">
        <f t="shared" si="200"/>
        <v>0</v>
      </c>
      <c r="O393" s="25">
        <f>(N393/60)*VLOOKUP(C393,Employees!A:J,10,0)*1.5</f>
        <v>0</v>
      </c>
      <c r="P393" s="23">
        <f>IF(G393="غياب",VLOOKUP(C393,Employees!$A$3:$J$36,9,FALSE()),0)</f>
        <v>259.25925925925924</v>
      </c>
    </row>
    <row r="394" spans="1:16" ht="15" customHeight="1">
      <c r="A394" s="17" t="s">
        <v>67</v>
      </c>
      <c r="B394" s="19" t="s">
        <v>68</v>
      </c>
      <c r="C394" s="19" t="s">
        <v>29</v>
      </c>
      <c r="D394" s="19" t="str">
        <f>VLOOKUP(C394,Employees!A:J,2,0)</f>
        <v>محمد حسين</v>
      </c>
      <c r="E394" s="20">
        <v>0.45833333333333298</v>
      </c>
      <c r="F394" s="20">
        <v>0.875</v>
      </c>
      <c r="G394" s="21" t="s">
        <v>69</v>
      </c>
      <c r="H394" s="20">
        <v>0.53402777777777777</v>
      </c>
      <c r="I394" s="20">
        <v>1.0048611111111112</v>
      </c>
      <c r="J394" s="22">
        <f t="shared" si="198"/>
        <v>0</v>
      </c>
      <c r="K394" s="47">
        <f>(J394/60)*VLOOKUP(C394,Employees!A:J,10,0)*1.5</f>
        <v>0</v>
      </c>
      <c r="L394" s="22">
        <f t="shared" si="199"/>
        <v>109.00000000000051</v>
      </c>
      <c r="M394" s="23">
        <f>(L394/60)*VLOOKUP(C394,Employees!A:J,10,0)*2</f>
        <v>148.02469135802536</v>
      </c>
      <c r="N394" s="24">
        <f t="shared" si="200"/>
        <v>187.00000000000014</v>
      </c>
      <c r="O394" s="25">
        <f>(N394/60)*VLOOKUP(C394,Employees!A:J,10,0)*1.5</f>
        <v>190.4629629629631</v>
      </c>
      <c r="P394" s="23">
        <f>IF(G394="غياب",VLOOKUP(C394,Employees!$A$3:$J$36,9,FALSE()),0)</f>
        <v>0</v>
      </c>
    </row>
    <row r="395" spans="1:16" ht="15" customHeight="1">
      <c r="A395" s="17" t="s">
        <v>70</v>
      </c>
      <c r="B395" s="19" t="s">
        <v>71</v>
      </c>
      <c r="C395" s="19" t="s">
        <v>29</v>
      </c>
      <c r="D395" s="19" t="str">
        <f>VLOOKUP(C395,Employees!A:J,2,0)</f>
        <v>محمد حسين</v>
      </c>
      <c r="E395" s="20">
        <v>0.45833333333333298</v>
      </c>
      <c r="F395" s="20">
        <v>0.875</v>
      </c>
      <c r="G395" s="21" t="s">
        <v>69</v>
      </c>
      <c r="H395" s="20">
        <v>0.4284722222222222</v>
      </c>
      <c r="I395" s="20">
        <v>0.9243055555555556</v>
      </c>
      <c r="J395" s="22">
        <f t="shared" si="198"/>
        <v>42.999999999999531</v>
      </c>
      <c r="K395" s="47">
        <f>(J395/60)*VLOOKUP(C395,Employees!A:J,10,0)*1.5</f>
        <v>43.796296296295822</v>
      </c>
      <c r="L395" s="22">
        <f t="shared" si="199"/>
        <v>0</v>
      </c>
      <c r="M395" s="23">
        <f>(L395/60)*VLOOKUP(C395,Employees!A:J,10,0)*2</f>
        <v>0</v>
      </c>
      <c r="N395" s="24">
        <f t="shared" si="200"/>
        <v>71.000000000000071</v>
      </c>
      <c r="O395" s="25">
        <f>(N395/60)*VLOOKUP(C395,Employees!A:J,10,0)*1.5</f>
        <v>72.314814814814881</v>
      </c>
      <c r="P395" s="23">
        <f>IF(G395="غياب",VLOOKUP(C395,Employees!$A$3:$J$36,9,FALSE()),0)</f>
        <v>0</v>
      </c>
    </row>
    <row r="396" spans="1:16" ht="15" customHeight="1">
      <c r="A396" s="17" t="s">
        <v>72</v>
      </c>
      <c r="B396" s="19" t="s">
        <v>73</v>
      </c>
      <c r="C396" s="19" t="s">
        <v>29</v>
      </c>
      <c r="D396" s="19" t="str">
        <f>VLOOKUP(C396,Employees!A:J,2,0)</f>
        <v>محمد حسين</v>
      </c>
      <c r="E396" s="20">
        <v>0.45833333333333298</v>
      </c>
      <c r="F396" s="20">
        <v>0.875</v>
      </c>
      <c r="G396" s="21" t="s">
        <v>69</v>
      </c>
      <c r="H396" s="20">
        <v>0.57499999999999996</v>
      </c>
      <c r="I396" s="20">
        <v>0.875</v>
      </c>
      <c r="J396" s="22">
        <f t="shared" si="198"/>
        <v>0</v>
      </c>
      <c r="K396" s="47">
        <f>(J396/60)*VLOOKUP(C396,Employees!A:J,10,0)*1.5</f>
        <v>0</v>
      </c>
      <c r="L396" s="22">
        <f t="shared" si="199"/>
        <v>168.00000000000045</v>
      </c>
      <c r="M396" s="23">
        <f>(L396/60)*VLOOKUP(C396,Employees!A:J,10,0)*2</f>
        <v>228.14814814814875</v>
      </c>
      <c r="N396" s="24">
        <f t="shared" si="200"/>
        <v>0</v>
      </c>
      <c r="O396" s="25">
        <f>(N396/60)*VLOOKUP(C396,Employees!A:J,10,0)*1.5</f>
        <v>0</v>
      </c>
      <c r="P396" s="23">
        <f>IF(G396="غياب",VLOOKUP(C396,Employees!$A$3:$J$36,9,FALSE()),0)</f>
        <v>0</v>
      </c>
    </row>
    <row r="397" spans="1:16" ht="15" customHeight="1">
      <c r="A397" s="17" t="s">
        <v>74</v>
      </c>
      <c r="B397" s="19" t="s">
        <v>75</v>
      </c>
      <c r="C397" s="19" t="s">
        <v>29</v>
      </c>
      <c r="D397" s="19" t="str">
        <f>VLOOKUP(C397,Employees!A:J,2,0)</f>
        <v>محمد حسين</v>
      </c>
      <c r="E397" s="20">
        <v>0.45833333333333298</v>
      </c>
      <c r="F397" s="20">
        <v>0.875</v>
      </c>
      <c r="G397" s="21" t="s">
        <v>69</v>
      </c>
      <c r="H397" s="20">
        <v>0.4548611111111111</v>
      </c>
      <c r="I397" s="20">
        <v>0.91180555555555554</v>
      </c>
      <c r="J397" s="22">
        <f t="shared" si="198"/>
        <v>0</v>
      </c>
      <c r="K397" s="47">
        <f>(J397/60)*VLOOKUP(C397,Employees!A:J,10,0)*1.5</f>
        <v>0</v>
      </c>
      <c r="L397" s="22">
        <f t="shared" si="199"/>
        <v>0</v>
      </c>
      <c r="M397" s="23">
        <f>(L397/60)*VLOOKUP(C397,Employees!A:J,10,0)*2</f>
        <v>0</v>
      </c>
      <c r="N397" s="24">
        <f t="shared" si="200"/>
        <v>52.999999999999972</v>
      </c>
      <c r="O397" s="25">
        <f>(N397/60)*VLOOKUP(C397,Employees!A:J,10,0)*1.5</f>
        <v>53.981481481481453</v>
      </c>
      <c r="P397" s="23">
        <f>IF(G397="غياب",VLOOKUP(C397,Employees!$A$3:$J$36,9,FALSE()),0)</f>
        <v>0</v>
      </c>
    </row>
    <row r="398" spans="1:16" ht="15" customHeight="1">
      <c r="A398" s="26" t="s">
        <v>76</v>
      </c>
      <c r="B398" s="28" t="s">
        <v>77</v>
      </c>
      <c r="C398" s="28" t="s">
        <v>29</v>
      </c>
      <c r="D398" s="28" t="str">
        <f>VLOOKUP(C398,Employees!A:J,2,0)</f>
        <v>محمد حسين</v>
      </c>
      <c r="E398" s="29" t="s">
        <v>78</v>
      </c>
      <c r="F398" s="29" t="s">
        <v>78</v>
      </c>
      <c r="G398" s="27" t="s">
        <v>79</v>
      </c>
      <c r="H398" s="29" t="s">
        <v>78</v>
      </c>
      <c r="I398" s="29" t="s">
        <v>78</v>
      </c>
      <c r="J398" s="22" t="s">
        <v>78</v>
      </c>
      <c r="K398" s="47" t="s">
        <v>78</v>
      </c>
      <c r="L398" s="22" t="s">
        <v>78</v>
      </c>
      <c r="M398" s="23" t="s">
        <v>78</v>
      </c>
      <c r="N398" s="24" t="s">
        <v>78</v>
      </c>
      <c r="O398" s="24" t="s">
        <v>78</v>
      </c>
      <c r="P398" s="23">
        <f>IF(G398="غياب",VLOOKUP(C398,Employees!$A$3:$J$36,9,FALSE()),0)</f>
        <v>0</v>
      </c>
    </row>
    <row r="399" spans="1:16" ht="15" customHeight="1">
      <c r="A399" s="17" t="s">
        <v>80</v>
      </c>
      <c r="B399" s="19" t="s">
        <v>81</v>
      </c>
      <c r="C399" s="19" t="s">
        <v>29</v>
      </c>
      <c r="D399" s="19" t="str">
        <f>VLOOKUP(C399,Employees!A:J,2,0)</f>
        <v>محمد حسين</v>
      </c>
      <c r="E399" s="20">
        <v>0.45833333333333298</v>
      </c>
      <c r="F399" s="20">
        <v>0.875</v>
      </c>
      <c r="G399" s="21" t="s">
        <v>69</v>
      </c>
      <c r="H399" s="20">
        <v>0.4375</v>
      </c>
      <c r="I399" s="20">
        <v>0.875</v>
      </c>
      <c r="J399" s="22">
        <f t="shared" ref="J399:J402" si="201">IF(OR(H399="",G399="غياب",G399="إجازة أسبوعية"),0,
IF(H399&gt;=E399-TIME(0,20,0),0,
IF(H399&gt;=E399-TIME(0,30,0),30,(E399-H399)*1440)))</f>
        <v>30</v>
      </c>
      <c r="K399" s="47">
        <f>(J399/60)*VLOOKUP(C399,Employees!A:J,10,0)*1.5</f>
        <v>30.555555555555557</v>
      </c>
      <c r="L399" s="22">
        <f t="shared" ref="L399:L402" si="202">IF(OR(H399="",G399="غياب",G399="إجازة أسبوعية"),0,
IF(H399&lt;=E399+TIME(0,30,0),0,
30+((H399-(E399+TIME(0,30,0)))*1440)))</f>
        <v>0</v>
      </c>
      <c r="M399" s="23">
        <f>(L399/60)*VLOOKUP(C399,Employees!A:J,10,0)*2</f>
        <v>0</v>
      </c>
      <c r="N399" s="24">
        <f t="shared" ref="N399:N402" si="203">IF(OR(I399="",G399="غياب",G399="إجازة أسبوعية",I399&lt;=F399),0,
IF(MOD(I399-F399,1)&lt;=TIME(0,25,0),0,MAX(0,(I399-F399)*1440)))</f>
        <v>0</v>
      </c>
      <c r="O399" s="25">
        <f>(N399/60)*VLOOKUP(C399,Employees!A:J,10,0)*1.5</f>
        <v>0</v>
      </c>
      <c r="P399" s="23">
        <f>IF(G399="غياب",VLOOKUP(C399,Employees!$A$3:$J$36,9,FALSE()),0)</f>
        <v>0</v>
      </c>
    </row>
    <row r="400" spans="1:16" ht="15" customHeight="1">
      <c r="A400" s="17" t="s">
        <v>82</v>
      </c>
      <c r="B400" s="19" t="s">
        <v>83</v>
      </c>
      <c r="C400" s="19" t="s">
        <v>29</v>
      </c>
      <c r="D400" s="19" t="str">
        <f>VLOOKUP(C400,Employees!A:J,2,0)</f>
        <v>محمد حسين</v>
      </c>
      <c r="E400" s="20">
        <v>0.45833333333333298</v>
      </c>
      <c r="F400" s="20">
        <v>0.875</v>
      </c>
      <c r="G400" s="21" t="s">
        <v>69</v>
      </c>
      <c r="H400" s="20">
        <v>0.48541666666666666</v>
      </c>
      <c r="I400" s="20">
        <v>0.89513888888888893</v>
      </c>
      <c r="J400" s="22">
        <f t="shared" si="201"/>
        <v>0</v>
      </c>
      <c r="K400" s="47">
        <f>(J400/60)*VLOOKUP(C400,Employees!A:J,10,0)*1.5</f>
        <v>0</v>
      </c>
      <c r="L400" s="22">
        <f t="shared" si="202"/>
        <v>39.000000000000526</v>
      </c>
      <c r="M400" s="23">
        <f>(L400/60)*VLOOKUP(C400,Employees!A:J,10,0)*2</f>
        <v>52.96296296296368</v>
      </c>
      <c r="N400" s="24">
        <f t="shared" si="203"/>
        <v>29.000000000000057</v>
      </c>
      <c r="O400" s="25">
        <f>(N400/60)*VLOOKUP(C400,Employees!A:J,10,0)*1.5</f>
        <v>29.537037037037095</v>
      </c>
      <c r="P400" s="23">
        <f>IF(G400="غياب",VLOOKUP(C400,Employees!$A$3:$J$36,9,FALSE()),0)</f>
        <v>0</v>
      </c>
    </row>
    <row r="401" spans="1:16" ht="15" customHeight="1">
      <c r="A401" s="17" t="s">
        <v>84</v>
      </c>
      <c r="B401" s="19" t="s">
        <v>68</v>
      </c>
      <c r="C401" s="19" t="s">
        <v>29</v>
      </c>
      <c r="D401" s="19" t="str">
        <f>VLOOKUP(C401,Employees!A:J,2,0)</f>
        <v>محمد حسين</v>
      </c>
      <c r="E401" s="20">
        <v>0.45833333333333298</v>
      </c>
      <c r="F401" s="20">
        <v>0.875</v>
      </c>
      <c r="G401" s="21" t="s">
        <v>69</v>
      </c>
      <c r="H401" s="20">
        <v>0.52847222222222223</v>
      </c>
      <c r="I401" s="20">
        <v>0.8930555555555556</v>
      </c>
      <c r="J401" s="22">
        <f t="shared" si="201"/>
        <v>0</v>
      </c>
      <c r="K401" s="47">
        <f>(J401/60)*VLOOKUP(C401,Employees!A:J,10,0)*1.5</f>
        <v>0</v>
      </c>
      <c r="L401" s="22">
        <f t="shared" si="202"/>
        <v>101.00000000000054</v>
      </c>
      <c r="M401" s="23">
        <f>(L401/60)*VLOOKUP(C401,Employees!A:J,10,0)*2</f>
        <v>137.16049382716122</v>
      </c>
      <c r="N401" s="24">
        <f t="shared" si="203"/>
        <v>26.000000000000068</v>
      </c>
      <c r="O401" s="25">
        <f>(N401/60)*VLOOKUP(C401,Employees!A:J,10,0)*1.5</f>
        <v>26.481481481481548</v>
      </c>
      <c r="P401" s="23">
        <f>IF(G401="غياب",VLOOKUP(C401,Employees!$A$3:$J$36,9,FALSE()),0)</f>
        <v>0</v>
      </c>
    </row>
    <row r="402" spans="1:16" ht="15" customHeight="1">
      <c r="A402" s="17" t="s">
        <v>85</v>
      </c>
      <c r="B402" s="19" t="s">
        <v>71</v>
      </c>
      <c r="C402" s="19" t="s">
        <v>29</v>
      </c>
      <c r="D402" s="19" t="str">
        <f>VLOOKUP(C402,Employees!A:J,2,0)</f>
        <v>محمد حسين</v>
      </c>
      <c r="E402" s="20">
        <v>0.45833333333333298</v>
      </c>
      <c r="F402" s="20">
        <v>0.875</v>
      </c>
      <c r="G402" s="21" t="s">
        <v>69</v>
      </c>
      <c r="H402" s="20">
        <v>0.50208333333333333</v>
      </c>
      <c r="I402" s="20">
        <v>0.89930555555555558</v>
      </c>
      <c r="J402" s="22">
        <f t="shared" si="201"/>
        <v>0</v>
      </c>
      <c r="K402" s="47">
        <f>(J402/60)*VLOOKUP(C402,Employees!A:J,10,0)*1.5</f>
        <v>0</v>
      </c>
      <c r="L402" s="22">
        <f t="shared" si="202"/>
        <v>63.000000000000526</v>
      </c>
      <c r="M402" s="23">
        <f>(L402/60)*VLOOKUP(C402,Employees!A:J,10,0)*2</f>
        <v>85.555555555556268</v>
      </c>
      <c r="N402" s="24">
        <f t="shared" si="203"/>
        <v>35.000000000000036</v>
      </c>
      <c r="O402" s="25">
        <f>(N402/60)*VLOOKUP(C402,Employees!A:J,10,0)*1.5</f>
        <v>35.648148148148181</v>
      </c>
      <c r="P402" s="23">
        <f>IF(G402="غياب",VLOOKUP(C402,Employees!$A$3:$J$36,9,FALSE()),0)</f>
        <v>0</v>
      </c>
    </row>
    <row r="403" spans="1:16" ht="15" customHeight="1">
      <c r="A403" s="48" t="s">
        <v>86</v>
      </c>
      <c r="B403" s="49" t="s">
        <v>73</v>
      </c>
      <c r="C403" s="49" t="s">
        <v>29</v>
      </c>
      <c r="D403" s="49" t="str">
        <f>VLOOKUP(C403,Employees!A:J,2,0)</f>
        <v>محمد حسين</v>
      </c>
      <c r="E403" s="50">
        <v>0.45833333333333298</v>
      </c>
      <c r="F403" s="50">
        <v>0.875</v>
      </c>
      <c r="G403" s="51" t="s">
        <v>130</v>
      </c>
      <c r="H403" s="52" t="s">
        <v>78</v>
      </c>
      <c r="I403" s="52" t="s">
        <v>78</v>
      </c>
      <c r="J403" s="22">
        <f t="shared" ref="J403:J451" si="204">IF(OR(G403="غياب",G403="إجازة أسبوعية"),0,
IF(H403&gt;=E403-TIME(0,20,0),0,
IF(H403&gt;=E403-TIME(0,30,0),30,(E403-H403)*1440)))</f>
        <v>0</v>
      </c>
      <c r="K403" s="47">
        <f>(J403/60)*VLOOKUP(C403,Employees!A:J,10,0)*1.5</f>
        <v>0</v>
      </c>
      <c r="L403" s="22" t="s">
        <v>78</v>
      </c>
      <c r="M403" s="23" t="s">
        <v>78</v>
      </c>
      <c r="N403" s="24" t="s">
        <v>78</v>
      </c>
      <c r="O403" s="25" t="s">
        <v>78</v>
      </c>
      <c r="P403" s="23">
        <f>IF(G403="غياب",VLOOKUP(C403,Employees!$A$3:$J$36,9,FALSE()),0)</f>
        <v>407.40740740740739</v>
      </c>
    </row>
    <row r="404" spans="1:16" ht="15" customHeight="1">
      <c r="A404" s="17" t="s">
        <v>87</v>
      </c>
      <c r="B404" s="19" t="s">
        <v>75</v>
      </c>
      <c r="C404" s="19" t="s">
        <v>29</v>
      </c>
      <c r="D404" s="19" t="str">
        <f>VLOOKUP(C404,Employees!A:J,2,0)</f>
        <v>محمد حسين</v>
      </c>
      <c r="E404" s="20">
        <v>0.5</v>
      </c>
      <c r="F404" s="20">
        <v>0.91666666666666696</v>
      </c>
      <c r="G404" s="21" t="s">
        <v>69</v>
      </c>
      <c r="H404" s="20">
        <v>0.60138888888888886</v>
      </c>
      <c r="I404" s="20">
        <v>0.9868055555555556</v>
      </c>
      <c r="J404" s="22">
        <f>IF(OR(H404="",G404="غياب",G404="إجازة أسبوعية"),0,
IF(H404&gt;=E404-TIME(0,20,0),0,
IF(H404&gt;=E404-TIME(0,30,0),30,(E404-H404)*1440)))</f>
        <v>0</v>
      </c>
      <c r="K404" s="47">
        <f>(J404/60)*VLOOKUP(C404,Employees!A:J,10,0)*1.5</f>
        <v>0</v>
      </c>
      <c r="L404" s="22">
        <f>IF(OR(H404="",G404="غياب",G404="إجازة أسبوعية"),0,
IF(H404&lt;=E404+TIME(0,30,0),0,
30+((H404-(E404+TIME(0,30,0)))*1440)))</f>
        <v>145.99999999999991</v>
      </c>
      <c r="M404" s="23">
        <f>(L404/60)*VLOOKUP(C404,Employees!A:J,10,0)*2</f>
        <v>198.27160493827148</v>
      </c>
      <c r="N404" s="24">
        <f>IF(OR(I404="",G404="غياب",G404="إجازة أسبوعية",I404&lt;=F404),0,
IF(MOD(I404-F404,1)&lt;=TIME(0,25,0),0,MAX(0,(I404-F404)*1440)))</f>
        <v>100.99999999999964</v>
      </c>
      <c r="O404" s="25">
        <f>(N404/60)*VLOOKUP(C404,Employees!A:J,10,0)*1.5</f>
        <v>102.87037037037</v>
      </c>
      <c r="P404" s="23">
        <f>IF(G404="غياب",VLOOKUP(C404,Employees!$A$3:$J$36,9,FALSE()),0)</f>
        <v>0</v>
      </c>
    </row>
    <row r="405" spans="1:16" ht="15" customHeight="1">
      <c r="A405" s="26" t="s">
        <v>88</v>
      </c>
      <c r="B405" s="28" t="s">
        <v>77</v>
      </c>
      <c r="C405" s="28" t="s">
        <v>29</v>
      </c>
      <c r="D405" s="28" t="str">
        <f>VLOOKUP(C405,Employees!A:J,2,0)</f>
        <v>محمد حسين</v>
      </c>
      <c r="E405" s="29" t="s">
        <v>78</v>
      </c>
      <c r="F405" s="29" t="s">
        <v>78</v>
      </c>
      <c r="G405" s="27" t="s">
        <v>79</v>
      </c>
      <c r="H405" s="29" t="s">
        <v>78</v>
      </c>
      <c r="I405" s="29" t="s">
        <v>78</v>
      </c>
      <c r="J405" s="22" t="s">
        <v>78</v>
      </c>
      <c r="K405" s="47" t="s">
        <v>78</v>
      </c>
      <c r="L405" s="22" t="s">
        <v>78</v>
      </c>
      <c r="M405" s="23" t="s">
        <v>78</v>
      </c>
      <c r="N405" s="24" t="s">
        <v>78</v>
      </c>
      <c r="O405" s="24" t="s">
        <v>78</v>
      </c>
      <c r="P405" s="23">
        <f>IF(G405="غياب",VLOOKUP(C405,Employees!$A$3:$J$36,9,FALSE()),0)</f>
        <v>0</v>
      </c>
    </row>
    <row r="406" spans="1:16" ht="15" customHeight="1">
      <c r="A406" s="26" t="s">
        <v>89</v>
      </c>
      <c r="B406" s="28" t="s">
        <v>81</v>
      </c>
      <c r="C406" s="28" t="s">
        <v>29</v>
      </c>
      <c r="D406" s="28" t="str">
        <f>VLOOKUP(C406,Employees!A:J,2,0)</f>
        <v>محمد حسين</v>
      </c>
      <c r="E406" s="29" t="s">
        <v>78</v>
      </c>
      <c r="F406" s="29" t="s">
        <v>78</v>
      </c>
      <c r="G406" s="27" t="s">
        <v>79</v>
      </c>
      <c r="H406" s="29" t="s">
        <v>78</v>
      </c>
      <c r="I406" s="29" t="s">
        <v>78</v>
      </c>
      <c r="J406" s="22" t="s">
        <v>78</v>
      </c>
      <c r="K406" s="47" t="s">
        <v>78</v>
      </c>
      <c r="L406" s="22" t="s">
        <v>78</v>
      </c>
      <c r="M406" s="23" t="s">
        <v>78</v>
      </c>
      <c r="N406" s="24" t="s">
        <v>78</v>
      </c>
      <c r="O406" s="24" t="s">
        <v>78</v>
      </c>
      <c r="P406" s="23">
        <f>IF(G406="غياب",VLOOKUP(C406,Employees!$A$3:$J$36,9,FALSE()),0)</f>
        <v>0</v>
      </c>
    </row>
    <row r="407" spans="1:16" ht="15" customHeight="1">
      <c r="A407" s="17" t="s">
        <v>90</v>
      </c>
      <c r="B407" s="19" t="s">
        <v>83</v>
      </c>
      <c r="C407" s="19" t="s">
        <v>29</v>
      </c>
      <c r="D407" s="19" t="str">
        <f>VLOOKUP(C407,Employees!A:J,2,0)</f>
        <v>محمد حسين</v>
      </c>
      <c r="E407" s="20">
        <v>0.5</v>
      </c>
      <c r="F407" s="20">
        <v>0.91666666666666696</v>
      </c>
      <c r="G407" s="21" t="s">
        <v>69</v>
      </c>
      <c r="H407" s="20">
        <v>0.45833333333333331</v>
      </c>
      <c r="I407" s="20">
        <v>0.91666666666666663</v>
      </c>
      <c r="J407" s="22">
        <f t="shared" ref="J407:J411" si="205">IF(OR(H407="",G407="غياب",G407="إجازة أسبوعية"),0,
IF(H407&gt;=E407-TIME(0,20,0),0,
IF(H407&gt;=E407-TIME(0,30,0),30,(E407-H407)*1440)))</f>
        <v>60.000000000000028</v>
      </c>
      <c r="K407" s="47">
        <f>(J407/60)*VLOOKUP(C407,Employees!A:J,10,0)*1.5</f>
        <v>61.111111111111143</v>
      </c>
      <c r="L407" s="22">
        <f t="shared" ref="L407:L411" si="206">IF(OR(H407="",G407="غياب",G407="إجازة أسبوعية"),0,
IF(H407&lt;=E407+TIME(0,30,0),0,
30+((H407-(E407+TIME(0,30,0)))*1440)))</f>
        <v>0</v>
      </c>
      <c r="M407" s="23">
        <f>(L407/60)*VLOOKUP(C407,Employees!A:J,10,0)*2</f>
        <v>0</v>
      </c>
      <c r="N407" s="24">
        <f t="shared" ref="N407:N411" si="207">IF(OR(I407="",G407="غياب",G407="إجازة أسبوعية",I407&lt;=F407),0,
IF(MOD(I407-F407,1)&lt;=TIME(0,25,0),0,MAX(0,(I407-F407)*1440)))</f>
        <v>0</v>
      </c>
      <c r="O407" s="25">
        <f>(N407/60)*VLOOKUP(C407,Employees!A:J,10,0)*1.5</f>
        <v>0</v>
      </c>
      <c r="P407" s="23">
        <f>IF(G407="غياب",VLOOKUP(C407,Employees!$A$3:$J$36,9,FALSE()),0)</f>
        <v>0</v>
      </c>
    </row>
    <row r="408" spans="1:16" ht="15" customHeight="1">
      <c r="A408" s="17" t="s">
        <v>91</v>
      </c>
      <c r="B408" s="19" t="s">
        <v>68</v>
      </c>
      <c r="C408" s="19" t="s">
        <v>29</v>
      </c>
      <c r="D408" s="19" t="str">
        <f>VLOOKUP(C408,Employees!A:J,2,0)</f>
        <v>محمد حسين</v>
      </c>
      <c r="E408" s="20">
        <v>0.5</v>
      </c>
      <c r="F408" s="20">
        <v>0.91666666666666696</v>
      </c>
      <c r="G408" s="21" t="s">
        <v>69</v>
      </c>
      <c r="H408" s="20">
        <v>0.5</v>
      </c>
      <c r="I408" s="20">
        <v>0.91666666666666663</v>
      </c>
      <c r="J408" s="22">
        <f t="shared" si="205"/>
        <v>0</v>
      </c>
      <c r="K408" s="47">
        <f>(J408/60)*VLOOKUP(C408,Employees!A:J,10,0)*1.5</f>
        <v>0</v>
      </c>
      <c r="L408" s="22">
        <f t="shared" si="206"/>
        <v>0</v>
      </c>
      <c r="M408" s="23">
        <f>(L408/60)*VLOOKUP(C408,Employees!A:J,10,0)*2</f>
        <v>0</v>
      </c>
      <c r="N408" s="24">
        <f t="shared" si="207"/>
        <v>0</v>
      </c>
      <c r="O408" s="25">
        <f>(N408/60)*VLOOKUP(C408,Employees!A:J,10,0)*1.5</f>
        <v>0</v>
      </c>
      <c r="P408" s="23">
        <f>IF(G408="غياب",VLOOKUP(C408,Employees!$A$3:$J$36,9,FALSE()),0)</f>
        <v>0</v>
      </c>
    </row>
    <row r="409" spans="1:16" ht="15" customHeight="1">
      <c r="A409" s="17" t="s">
        <v>92</v>
      </c>
      <c r="B409" s="19" t="s">
        <v>71</v>
      </c>
      <c r="C409" s="19" t="s">
        <v>29</v>
      </c>
      <c r="D409" s="19" t="str">
        <f>VLOOKUP(C409,Employees!A:J,2,0)</f>
        <v>محمد حسين</v>
      </c>
      <c r="E409" s="20">
        <v>0.5</v>
      </c>
      <c r="F409" s="20">
        <v>0.91666666666666696</v>
      </c>
      <c r="G409" s="21" t="s">
        <v>69</v>
      </c>
      <c r="H409" s="20">
        <v>0.49444444444444446</v>
      </c>
      <c r="I409" s="20">
        <v>0.91666666666666663</v>
      </c>
      <c r="J409" s="22">
        <f t="shared" si="205"/>
        <v>0</v>
      </c>
      <c r="K409" s="47">
        <f>(J409/60)*VLOOKUP(C409,Employees!A:J,10,0)*1.5</f>
        <v>0</v>
      </c>
      <c r="L409" s="22">
        <f t="shared" si="206"/>
        <v>0</v>
      </c>
      <c r="M409" s="23">
        <f>(L409/60)*VLOOKUP(C409,Employees!A:J,10,0)*2</f>
        <v>0</v>
      </c>
      <c r="N409" s="24">
        <f t="shared" si="207"/>
        <v>0</v>
      </c>
      <c r="O409" s="25">
        <f>(N409/60)*VLOOKUP(C409,Employees!A:J,10,0)*1.5</f>
        <v>0</v>
      </c>
      <c r="P409" s="23">
        <f>IF(G409="غياب",VLOOKUP(C409,Employees!$A$3:$J$36,9,FALSE()),0)</f>
        <v>0</v>
      </c>
    </row>
    <row r="410" spans="1:16" ht="15" customHeight="1">
      <c r="A410" s="17" t="s">
        <v>93</v>
      </c>
      <c r="B410" s="19" t="s">
        <v>73</v>
      </c>
      <c r="C410" s="19" t="s">
        <v>29</v>
      </c>
      <c r="D410" s="19" t="str">
        <f>VLOOKUP(C410,Employees!A:J,2,0)</f>
        <v>محمد حسين</v>
      </c>
      <c r="E410" s="20">
        <v>0.5</v>
      </c>
      <c r="F410" s="20">
        <v>0.91666666666666696</v>
      </c>
      <c r="G410" s="21" t="s">
        <v>69</v>
      </c>
      <c r="H410" s="20">
        <v>0.57152777777777775</v>
      </c>
      <c r="I410" s="20">
        <v>0.91666666666666696</v>
      </c>
      <c r="J410" s="22">
        <f t="shared" si="205"/>
        <v>0</v>
      </c>
      <c r="K410" s="47">
        <f>(J410/60)*VLOOKUP(C410,Employees!A:J,10,0)*1.5</f>
        <v>0</v>
      </c>
      <c r="L410" s="22">
        <f t="shared" si="206"/>
        <v>102.9999999999999</v>
      </c>
      <c r="M410" s="23">
        <f>(L410/60)*VLOOKUP(C410,Employees!A:J,10,0)*2</f>
        <v>139.87654320987642</v>
      </c>
      <c r="N410" s="24">
        <f t="shared" si="207"/>
        <v>0</v>
      </c>
      <c r="O410" s="25">
        <f>(N410/60)*VLOOKUP(C410,Employees!A:J,10,0)*1.5</f>
        <v>0</v>
      </c>
      <c r="P410" s="23">
        <f>IF(G410="غياب",VLOOKUP(C410,Employees!$A$3:$J$36,9,FALSE()),0)</f>
        <v>0</v>
      </c>
    </row>
    <row r="411" spans="1:16" ht="15" customHeight="1">
      <c r="A411" s="17" t="s">
        <v>94</v>
      </c>
      <c r="B411" s="19" t="s">
        <v>75</v>
      </c>
      <c r="C411" s="19" t="s">
        <v>29</v>
      </c>
      <c r="D411" s="19" t="str">
        <f>VLOOKUP(C411,Employees!A:J,2,0)</f>
        <v>محمد حسين</v>
      </c>
      <c r="E411" s="20">
        <v>0.5</v>
      </c>
      <c r="F411" s="20">
        <v>0.91666666666666696</v>
      </c>
      <c r="G411" s="21" t="s">
        <v>69</v>
      </c>
      <c r="H411" s="20">
        <v>0.4375</v>
      </c>
      <c r="I411" s="20">
        <v>0.94444444444444442</v>
      </c>
      <c r="J411" s="22">
        <f t="shared" si="205"/>
        <v>90</v>
      </c>
      <c r="K411" s="47">
        <f>(J411/60)*VLOOKUP(C411,Employees!A:J,10,0)*1.5</f>
        <v>91.666666666666671</v>
      </c>
      <c r="L411" s="22">
        <f t="shared" si="206"/>
        <v>0</v>
      </c>
      <c r="M411" s="23">
        <f>(L411/60)*VLOOKUP(C411,Employees!A:J,10,0)*2</f>
        <v>0</v>
      </c>
      <c r="N411" s="24">
        <f t="shared" si="207"/>
        <v>39.999999999999538</v>
      </c>
      <c r="O411" s="25">
        <f>(N411/60)*VLOOKUP(C411,Employees!A:J,10,0)*1.5</f>
        <v>40.740740740740272</v>
      </c>
      <c r="P411" s="23">
        <f>IF(G411="غياب",VLOOKUP(C411,Employees!$A$3:$J$36,9,FALSE()),0)</f>
        <v>0</v>
      </c>
    </row>
    <row r="412" spans="1:16" ht="15" customHeight="1">
      <c r="A412" s="26" t="s">
        <v>95</v>
      </c>
      <c r="B412" s="28" t="s">
        <v>77</v>
      </c>
      <c r="C412" s="28" t="s">
        <v>29</v>
      </c>
      <c r="D412" s="28" t="str">
        <f>VLOOKUP(C412,Employees!A:J,2,0)</f>
        <v>محمد حسين</v>
      </c>
      <c r="E412" s="29" t="s">
        <v>78</v>
      </c>
      <c r="F412" s="29" t="s">
        <v>78</v>
      </c>
      <c r="G412" s="27" t="s">
        <v>79</v>
      </c>
      <c r="H412" s="29" t="s">
        <v>78</v>
      </c>
      <c r="I412" s="29" t="s">
        <v>78</v>
      </c>
      <c r="J412" s="22" t="s">
        <v>78</v>
      </c>
      <c r="K412" s="47" t="s">
        <v>78</v>
      </c>
      <c r="L412" s="22" t="s">
        <v>78</v>
      </c>
      <c r="M412" s="23" t="s">
        <v>78</v>
      </c>
      <c r="N412" s="24" t="s">
        <v>78</v>
      </c>
      <c r="O412" s="24" t="s">
        <v>78</v>
      </c>
      <c r="P412" s="23">
        <f>IF(G412="غياب",VLOOKUP(C412,Employees!$A$3:$J$36,9,FALSE()),0)</f>
        <v>0</v>
      </c>
    </row>
    <row r="413" spans="1:16" ht="15" customHeight="1">
      <c r="A413" s="17" t="s">
        <v>96</v>
      </c>
      <c r="B413" s="19" t="s">
        <v>81</v>
      </c>
      <c r="C413" s="19" t="s">
        <v>29</v>
      </c>
      <c r="D413" s="19" t="str">
        <f>VLOOKUP(C413,Employees!A:J,2,0)</f>
        <v>محمد حسين</v>
      </c>
      <c r="E413" s="20">
        <v>0.5</v>
      </c>
      <c r="F413" s="30">
        <v>0.875</v>
      </c>
      <c r="G413" s="21" t="s">
        <v>69</v>
      </c>
      <c r="H413" s="20">
        <v>0.50972222222222219</v>
      </c>
      <c r="I413" s="20">
        <v>0.93194444444444446</v>
      </c>
      <c r="J413" s="22">
        <f t="shared" ref="J413:J418" si="208">IF(OR(H413="",G413="غياب",G413="إجازة أسبوعية"),0,
IF(H413&gt;=E413-TIME(0,20,0),0,
IF(H413&gt;=E413-TIME(0,30,0),30,(E413-H413)*1440)))</f>
        <v>0</v>
      </c>
      <c r="K413" s="47">
        <f>(J413/60)*VLOOKUP(C413,Employees!A:J,10,0)*1.5</f>
        <v>0</v>
      </c>
      <c r="L413" s="22">
        <f t="shared" ref="L413:L418" si="209">IF(OR(H413="",G413="غياب",G413="إجازة أسبوعية"),0,
IF(H413&lt;=E413+TIME(0,30,0),0,
30+((H413-(E413+TIME(0,30,0)))*1440)))</f>
        <v>0</v>
      </c>
      <c r="M413" s="23">
        <f>(L413/60)*VLOOKUP(C413,Employees!A:J,10,0)*2</f>
        <v>0</v>
      </c>
      <c r="N413" s="24">
        <f t="shared" ref="N413:N418" si="210">IF(OR(I413="",G413="غياب",G413="إجازة أسبوعية",I413&lt;=F413),0,
IF(MOD(I413-F413,1)&lt;=TIME(0,25,0),0,MAX(0,(I413-F413)*1440)))</f>
        <v>82.000000000000028</v>
      </c>
      <c r="O413" s="25">
        <f>(N413/60)*VLOOKUP(C413,Employees!A:J,10,0)*1.5</f>
        <v>83.518518518518547</v>
      </c>
      <c r="P413" s="23">
        <f>IF(G413="غياب",VLOOKUP(C413,Employees!$A$3:$J$36,9,FALSE()),0)</f>
        <v>0</v>
      </c>
    </row>
    <row r="414" spans="1:16" ht="15" customHeight="1">
      <c r="A414" s="17" t="s">
        <v>97</v>
      </c>
      <c r="B414" s="19" t="s">
        <v>83</v>
      </c>
      <c r="C414" s="19" t="s">
        <v>29</v>
      </c>
      <c r="D414" s="19" t="str">
        <f>VLOOKUP(C414,Employees!A:J,2,0)</f>
        <v>محمد حسين</v>
      </c>
      <c r="E414" s="20">
        <v>0.5</v>
      </c>
      <c r="F414" s="30">
        <v>0.875</v>
      </c>
      <c r="G414" s="21" t="s">
        <v>69</v>
      </c>
      <c r="H414" s="20">
        <v>0.5</v>
      </c>
      <c r="I414" s="20">
        <v>0.95</v>
      </c>
      <c r="J414" s="22">
        <f t="shared" si="208"/>
        <v>0</v>
      </c>
      <c r="K414" s="47">
        <f>(J414/60)*VLOOKUP(C414,Employees!A:J,10,0)*1.5</f>
        <v>0</v>
      </c>
      <c r="L414" s="22">
        <f t="shared" si="209"/>
        <v>0</v>
      </c>
      <c r="M414" s="23">
        <f>(L414/60)*VLOOKUP(C414,Employees!A:J,10,0)*2</f>
        <v>0</v>
      </c>
      <c r="N414" s="24">
        <f t="shared" si="210"/>
        <v>107.99999999999994</v>
      </c>
      <c r="O414" s="25">
        <f>(N414/60)*VLOOKUP(C414,Employees!A:J,10,0)*1.5</f>
        <v>109.99999999999994</v>
      </c>
      <c r="P414" s="23">
        <f>IF(G414="غياب",VLOOKUP(C414,Employees!$A$3:$J$36,9,FALSE()),0)</f>
        <v>0</v>
      </c>
    </row>
    <row r="415" spans="1:16" ht="15" customHeight="1">
      <c r="A415" s="17" t="s">
        <v>98</v>
      </c>
      <c r="B415" s="19" t="s">
        <v>68</v>
      </c>
      <c r="C415" s="19" t="s">
        <v>29</v>
      </c>
      <c r="D415" s="19" t="str">
        <f>VLOOKUP(C415,Employees!A:J,2,0)</f>
        <v>محمد حسين</v>
      </c>
      <c r="E415" s="20">
        <v>0.5</v>
      </c>
      <c r="F415" s="30">
        <v>0.875</v>
      </c>
      <c r="G415" s="21" t="s">
        <v>69</v>
      </c>
      <c r="H415" s="20">
        <v>0.50347222222222221</v>
      </c>
      <c r="I415" s="20">
        <v>0.94305555555555554</v>
      </c>
      <c r="J415" s="22">
        <f t="shared" si="208"/>
        <v>0</v>
      </c>
      <c r="K415" s="47">
        <f>(J415/60)*VLOOKUP(C415,Employees!A:J,10,0)*1.5</f>
        <v>0</v>
      </c>
      <c r="L415" s="22">
        <f t="shared" si="209"/>
        <v>0</v>
      </c>
      <c r="M415" s="23">
        <f>(L415/60)*VLOOKUP(C415,Employees!A:J,10,0)*2</f>
        <v>0</v>
      </c>
      <c r="N415" s="24">
        <f t="shared" si="210"/>
        <v>97.999999999999972</v>
      </c>
      <c r="O415" s="25">
        <f>(N415/60)*VLOOKUP(C415,Employees!A:J,10,0)*1.5</f>
        <v>99.814814814814781</v>
      </c>
      <c r="P415" s="23">
        <f>IF(G415="غياب",VLOOKUP(C415,Employees!$A$3:$J$36,9,FALSE()),0)</f>
        <v>0</v>
      </c>
    </row>
    <row r="416" spans="1:16" ht="15" customHeight="1">
      <c r="A416" s="17" t="s">
        <v>99</v>
      </c>
      <c r="B416" s="19" t="s">
        <v>71</v>
      </c>
      <c r="C416" s="19" t="s">
        <v>29</v>
      </c>
      <c r="D416" s="19" t="str">
        <f>VLOOKUP(C416,Employees!A:J,2,0)</f>
        <v>محمد حسين</v>
      </c>
      <c r="E416" s="20">
        <v>0.5</v>
      </c>
      <c r="F416" s="30">
        <v>0.875</v>
      </c>
      <c r="G416" s="21" t="s">
        <v>69</v>
      </c>
      <c r="H416" s="20">
        <v>0.50763888888888886</v>
      </c>
      <c r="I416" s="20">
        <v>0.93472222222222223</v>
      </c>
      <c r="J416" s="22">
        <f t="shared" si="208"/>
        <v>0</v>
      </c>
      <c r="K416" s="47">
        <f>(J416/60)*VLOOKUP(C416,Employees!A:J,10,0)*1.5</f>
        <v>0</v>
      </c>
      <c r="L416" s="22">
        <f t="shared" si="209"/>
        <v>0</v>
      </c>
      <c r="M416" s="23">
        <f>(L416/60)*VLOOKUP(C416,Employees!A:J,10,0)*2</f>
        <v>0</v>
      </c>
      <c r="N416" s="24">
        <f t="shared" si="210"/>
        <v>86.000000000000014</v>
      </c>
      <c r="O416" s="25">
        <f>(N416/60)*VLOOKUP(C416,Employees!A:J,10,0)*1.5</f>
        <v>87.592592592592609</v>
      </c>
      <c r="P416" s="23">
        <f>IF(G416="غياب",VLOOKUP(C416,Employees!$A$3:$J$36,9,FALSE()),0)</f>
        <v>0</v>
      </c>
    </row>
    <row r="417" spans="1:16" ht="15" customHeight="1">
      <c r="A417" s="17" t="s">
        <v>100</v>
      </c>
      <c r="B417" s="19" t="s">
        <v>73</v>
      </c>
      <c r="C417" s="19" t="s">
        <v>29</v>
      </c>
      <c r="D417" s="19" t="str">
        <f>VLOOKUP(C417,Employees!A:J,2,0)</f>
        <v>محمد حسين</v>
      </c>
      <c r="E417" s="20">
        <v>0.5</v>
      </c>
      <c r="F417" s="30">
        <v>0.875</v>
      </c>
      <c r="G417" s="21" t="s">
        <v>69</v>
      </c>
      <c r="H417" s="20">
        <v>0.46180555555555558</v>
      </c>
      <c r="I417" s="30">
        <v>0.875</v>
      </c>
      <c r="J417" s="22">
        <f t="shared" si="208"/>
        <v>54.999999999999964</v>
      </c>
      <c r="K417" s="47">
        <f>(J417/60)*VLOOKUP(C417,Employees!A:J,10,0)*1.5</f>
        <v>56.018518518518484</v>
      </c>
      <c r="L417" s="22">
        <f t="shared" si="209"/>
        <v>0</v>
      </c>
      <c r="M417" s="23">
        <f>(L417/60)*VLOOKUP(C417,Employees!A:J,10,0)*2</f>
        <v>0</v>
      </c>
      <c r="N417" s="24">
        <f t="shared" si="210"/>
        <v>0</v>
      </c>
      <c r="O417" s="25">
        <f>(N417/60)*VLOOKUP(C417,Employees!A:J,10,0)*1.5</f>
        <v>0</v>
      </c>
      <c r="P417" s="23">
        <f>IF(G417="غياب",VLOOKUP(C417,Employees!$A$3:$J$36,9,FALSE()),0)</f>
        <v>0</v>
      </c>
    </row>
    <row r="418" spans="1:16" ht="15" customHeight="1">
      <c r="A418" s="17" t="s">
        <v>101</v>
      </c>
      <c r="B418" s="19" t="s">
        <v>75</v>
      </c>
      <c r="C418" s="19" t="s">
        <v>29</v>
      </c>
      <c r="D418" s="19" t="str">
        <f>VLOOKUP(C418,Employees!A:J,2,0)</f>
        <v>محمد حسين</v>
      </c>
      <c r="E418" s="20">
        <v>0.5</v>
      </c>
      <c r="F418" s="30">
        <v>0.875</v>
      </c>
      <c r="G418" s="21" t="s">
        <v>69</v>
      </c>
      <c r="H418" s="20">
        <v>0.46805555555555556</v>
      </c>
      <c r="I418" s="20">
        <v>0.95138888888888884</v>
      </c>
      <c r="J418" s="22">
        <f t="shared" si="208"/>
        <v>46</v>
      </c>
      <c r="K418" s="47">
        <f>(J418/60)*VLOOKUP(C418,Employees!A:J,10,0)*1.5</f>
        <v>46.851851851851855</v>
      </c>
      <c r="L418" s="22">
        <f t="shared" si="209"/>
        <v>0</v>
      </c>
      <c r="M418" s="23">
        <f>(L418/60)*VLOOKUP(C418,Employees!A:J,10,0)*2</f>
        <v>0</v>
      </c>
      <c r="N418" s="24">
        <f t="shared" si="210"/>
        <v>109.99999999999993</v>
      </c>
      <c r="O418" s="25">
        <f>(N418/60)*VLOOKUP(C418,Employees!A:J,10,0)*1.5</f>
        <v>112.03703703703697</v>
      </c>
      <c r="P418" s="23">
        <f>IF(G418="غياب",VLOOKUP(C418,Employees!$A$3:$J$36,9,FALSE()),0)</f>
        <v>0</v>
      </c>
    </row>
    <row r="419" spans="1:16" ht="15" customHeight="1">
      <c r="A419" s="26" t="s">
        <v>102</v>
      </c>
      <c r="B419" s="28" t="s">
        <v>77</v>
      </c>
      <c r="C419" s="28" t="s">
        <v>29</v>
      </c>
      <c r="D419" s="28" t="str">
        <f>VLOOKUP(C419,Employees!A:J,2,0)</f>
        <v>محمد حسين</v>
      </c>
      <c r="E419" s="29" t="s">
        <v>78</v>
      </c>
      <c r="F419" s="29" t="s">
        <v>78</v>
      </c>
      <c r="G419" s="27" t="s">
        <v>79</v>
      </c>
      <c r="H419" s="29" t="s">
        <v>78</v>
      </c>
      <c r="I419" s="29" t="s">
        <v>78</v>
      </c>
      <c r="J419" s="22" t="s">
        <v>78</v>
      </c>
      <c r="K419" s="47" t="s">
        <v>78</v>
      </c>
      <c r="L419" s="22" t="s">
        <v>78</v>
      </c>
      <c r="M419" s="23" t="s">
        <v>78</v>
      </c>
      <c r="N419" s="24" t="s">
        <v>78</v>
      </c>
      <c r="O419" s="24" t="s">
        <v>78</v>
      </c>
      <c r="P419" s="23">
        <f>IF(G419="غياب",VLOOKUP(C419,Employees!$A$3:$J$36,9,FALSE()),0)</f>
        <v>0</v>
      </c>
    </row>
    <row r="420" spans="1:16" ht="15" customHeight="1">
      <c r="A420" s="17" t="s">
        <v>103</v>
      </c>
      <c r="B420" s="19" t="s">
        <v>81</v>
      </c>
      <c r="C420" s="19" t="s">
        <v>29</v>
      </c>
      <c r="D420" s="19" t="str">
        <f>VLOOKUP(C420,Employees!A:J,2,0)</f>
        <v>محمد حسين</v>
      </c>
      <c r="E420" s="20">
        <v>0.5</v>
      </c>
      <c r="F420" s="30">
        <v>0.875</v>
      </c>
      <c r="G420" s="21" t="s">
        <v>69</v>
      </c>
      <c r="H420" s="20">
        <v>0.52430555555555558</v>
      </c>
      <c r="I420" s="20">
        <v>0.9243055555555556</v>
      </c>
      <c r="J420" s="22">
        <f t="shared" ref="J420:J422" si="211">IF(OR(H420="",G420="غياب",G420="إجازة أسبوعية"),0,
IF(H420&gt;=E420-TIME(0,20,0),0,
IF(H420&gt;=E420-TIME(0,30,0),30,(E420-H420)*1440)))</f>
        <v>0</v>
      </c>
      <c r="K420" s="47">
        <f>(J420/60)*VLOOKUP(C420,Employees!A:J,10,0)*1.5</f>
        <v>0</v>
      </c>
      <c r="L420" s="22">
        <f t="shared" ref="L420:L422" si="212">IF(OR(H420="",G420="غياب",G420="إجازة أسبوعية"),0,
IF(H420&lt;=E420+TIME(0,30,0),0,
30+((H420-(E420+TIME(0,30,0)))*1440)))</f>
        <v>34.999999999999986</v>
      </c>
      <c r="M420" s="23">
        <f>(L420/60)*VLOOKUP(C420,Employees!A:J,10,0)*2</f>
        <v>47.530864197530846</v>
      </c>
      <c r="N420" s="24">
        <f t="shared" ref="N420:N422" si="213">IF(OR(I420="",G420="غياب",G420="إجازة أسبوعية",I420&lt;=F420),0,
IF(MOD(I420-F420,1)&lt;=TIME(0,25,0),0,MAX(0,(I420-F420)*1440)))</f>
        <v>71.000000000000071</v>
      </c>
      <c r="O420" s="25">
        <f>(N420/60)*VLOOKUP(C420,Employees!A:J,10,0)*1.5</f>
        <v>72.314814814814881</v>
      </c>
      <c r="P420" s="23">
        <f>IF(G420="غياب",VLOOKUP(C420,Employees!$A$3:$J$36,9,FALSE()),0)</f>
        <v>0</v>
      </c>
    </row>
    <row r="421" spans="1:16" ht="15" customHeight="1">
      <c r="A421" s="17" t="s">
        <v>104</v>
      </c>
      <c r="B421" s="19" t="s">
        <v>83</v>
      </c>
      <c r="C421" s="19" t="s">
        <v>29</v>
      </c>
      <c r="D421" s="19" t="str">
        <f>VLOOKUP(C421,Employees!A:J,2,0)</f>
        <v>محمد حسين</v>
      </c>
      <c r="E421" s="20">
        <v>0.5</v>
      </c>
      <c r="F421" s="30">
        <v>0.875</v>
      </c>
      <c r="G421" s="21" t="s">
        <v>69</v>
      </c>
      <c r="H421" s="20">
        <v>0.53680555555555554</v>
      </c>
      <c r="I421" s="20">
        <v>0.45833333333333331</v>
      </c>
      <c r="J421" s="22">
        <f t="shared" si="211"/>
        <v>0</v>
      </c>
      <c r="K421" s="47">
        <f>(J421/60)*VLOOKUP(C421,Employees!A:J,10,0)*1.5</f>
        <v>0</v>
      </c>
      <c r="L421" s="22">
        <f t="shared" si="212"/>
        <v>52.999999999999915</v>
      </c>
      <c r="M421" s="23">
        <f>(L421/60)*VLOOKUP(C421,Employees!A:J,10,0)*2</f>
        <v>71.97530864197519</v>
      </c>
      <c r="N421" s="24">
        <f t="shared" si="213"/>
        <v>0</v>
      </c>
      <c r="O421" s="25">
        <f>(N421/60)*VLOOKUP(C421,Employees!A:J,10,0)*1.5</f>
        <v>0</v>
      </c>
      <c r="P421" s="23">
        <f>IF(G421="غياب",VLOOKUP(C421,Employees!$A$3:$J$36,9,FALSE()),0)</f>
        <v>0</v>
      </c>
    </row>
    <row r="422" spans="1:16" ht="15" customHeight="1">
      <c r="A422" s="17" t="s">
        <v>105</v>
      </c>
      <c r="B422" s="19" t="s">
        <v>68</v>
      </c>
      <c r="C422" s="19" t="s">
        <v>29</v>
      </c>
      <c r="D422" s="19" t="str">
        <f>VLOOKUP(C422,Employees!A:J,2,0)</f>
        <v>محمد حسين</v>
      </c>
      <c r="E422" s="20">
        <v>0.5</v>
      </c>
      <c r="F422" s="30">
        <v>0.875</v>
      </c>
      <c r="G422" s="21" t="s">
        <v>69</v>
      </c>
      <c r="H422" s="20">
        <v>0.50902777777777775</v>
      </c>
      <c r="I422" s="20">
        <v>0.97638888888888886</v>
      </c>
      <c r="J422" s="22">
        <f t="shared" si="211"/>
        <v>0</v>
      </c>
      <c r="K422" s="47">
        <f>(J422/60)*VLOOKUP(C422,Employees!A:J,10,0)*1.5</f>
        <v>0</v>
      </c>
      <c r="L422" s="22">
        <f t="shared" si="212"/>
        <v>0</v>
      </c>
      <c r="M422" s="23">
        <f>(L422/60)*VLOOKUP(C422,Employees!A:J,10,0)*2</f>
        <v>0</v>
      </c>
      <c r="N422" s="24">
        <f t="shared" si="213"/>
        <v>145.99999999999997</v>
      </c>
      <c r="O422" s="25">
        <f>(N422/60)*VLOOKUP(C422,Employees!A:J,10,0)*1.5</f>
        <v>148.70370370370364</v>
      </c>
      <c r="P422" s="23">
        <f>IF(G422="غياب",VLOOKUP(C422,Employees!$A$3:$J$36,9,FALSE()),0)</f>
        <v>0</v>
      </c>
    </row>
    <row r="423" spans="1:16" ht="15" customHeight="1">
      <c r="A423" s="48" t="s">
        <v>106</v>
      </c>
      <c r="B423" s="49" t="s">
        <v>71</v>
      </c>
      <c r="C423" s="49" t="s">
        <v>29</v>
      </c>
      <c r="D423" s="49" t="str">
        <f>VLOOKUP(C423,Employees!A:J,2,0)</f>
        <v>محمد حسين</v>
      </c>
      <c r="E423" s="50">
        <v>0.5</v>
      </c>
      <c r="F423" s="53">
        <v>0.875</v>
      </c>
      <c r="G423" s="51" t="s">
        <v>130</v>
      </c>
      <c r="H423" s="52" t="s">
        <v>78</v>
      </c>
      <c r="I423" s="52" t="s">
        <v>78</v>
      </c>
      <c r="J423" s="22">
        <f t="shared" si="204"/>
        <v>0</v>
      </c>
      <c r="K423" s="47">
        <f>(J423/60)*VLOOKUP(C423,Employees!A:J,10,0)*1.5</f>
        <v>0</v>
      </c>
      <c r="L423" s="22" t="s">
        <v>78</v>
      </c>
      <c r="M423" s="23" t="s">
        <v>78</v>
      </c>
      <c r="N423" s="24" t="s">
        <v>78</v>
      </c>
      <c r="O423" s="25" t="s">
        <v>78</v>
      </c>
      <c r="P423" s="23">
        <f>IF(G423="غياب",VLOOKUP(C423,Employees!$A$3:$J$36,9,FALSE()),0)</f>
        <v>407.40740740740739</v>
      </c>
    </row>
    <row r="424" spans="1:16" ht="15" customHeight="1">
      <c r="A424" s="17" t="s">
        <v>67</v>
      </c>
      <c r="B424" s="19" t="s">
        <v>68</v>
      </c>
      <c r="C424" s="19" t="s">
        <v>32</v>
      </c>
      <c r="D424" s="19" t="str">
        <f>VLOOKUP(C424,Employees!A:J,2,0)</f>
        <v>معتز شوقى</v>
      </c>
      <c r="E424" s="20">
        <v>0.45833333333333298</v>
      </c>
      <c r="F424" s="20">
        <v>0.875</v>
      </c>
      <c r="G424" s="21" t="s">
        <v>69</v>
      </c>
      <c r="H424" s="20">
        <v>0.51875000000000004</v>
      </c>
      <c r="I424" s="20">
        <v>1.0048611111111112</v>
      </c>
      <c r="J424" s="22">
        <f t="shared" ref="J424:J426" si="214">IF(OR(H424="",G424="غياب",G424="إجازة أسبوعية"),0,
IF(H424&gt;=E424-TIME(0,20,0),0,
IF(H424&gt;=E424-TIME(0,30,0),30,(E424-H424)*1440)))</f>
        <v>0</v>
      </c>
      <c r="K424" s="47">
        <f>(J424/60)*VLOOKUP(C424,Employees!A:J,10,0)*1.5</f>
        <v>0</v>
      </c>
      <c r="L424" s="22">
        <f t="shared" ref="L424:L426" si="215">IF(OR(H424="",G424="غياب",G424="إجازة أسبوعية"),0,
IF(H424&lt;=E424+TIME(0,30,0),0,
30+((H424-(E424+TIME(0,30,0)))*1440)))</f>
        <v>87.000000000000597</v>
      </c>
      <c r="M424" s="23">
        <f>(L424/60)*VLOOKUP(C424,Employees!A:J,10,0)*2</f>
        <v>118.14814814814896</v>
      </c>
      <c r="N424" s="24">
        <f t="shared" ref="N424:N426" si="216">IF(OR(I424="",G424="غياب",G424="إجازة أسبوعية",I424&lt;=F424),0,
IF(MOD(I424-F424,1)&lt;=TIME(0,25,0),0,MAX(0,(I424-F424)*1440)))</f>
        <v>187.00000000000014</v>
      </c>
      <c r="O424" s="25">
        <f>(N424/60)*VLOOKUP(C424,Employees!A:J,10,0)*1.5</f>
        <v>190.4629629629631</v>
      </c>
      <c r="P424" s="23">
        <f>IF(G424="غياب",VLOOKUP(C424,Employees!$A$3:$J$36,9,FALSE()),0)</f>
        <v>0</v>
      </c>
    </row>
    <row r="425" spans="1:16" ht="15" customHeight="1">
      <c r="A425" s="17" t="s">
        <v>70</v>
      </c>
      <c r="B425" s="19" t="s">
        <v>71</v>
      </c>
      <c r="C425" s="19" t="s">
        <v>32</v>
      </c>
      <c r="D425" s="19" t="str">
        <f>VLOOKUP(C425,Employees!A:J,2,0)</f>
        <v>معتز شوقى</v>
      </c>
      <c r="E425" s="20">
        <v>0.45833333333333298</v>
      </c>
      <c r="F425" s="20">
        <v>0.875</v>
      </c>
      <c r="G425" s="21" t="s">
        <v>69</v>
      </c>
      <c r="H425" s="20">
        <v>0.45833333333333331</v>
      </c>
      <c r="I425" s="20">
        <v>0.9243055555555556</v>
      </c>
      <c r="J425" s="22">
        <f t="shared" si="214"/>
        <v>0</v>
      </c>
      <c r="K425" s="47">
        <f>(J425/60)*VLOOKUP(C425,Employees!A:J,10,0)*1.5</f>
        <v>0</v>
      </c>
      <c r="L425" s="22">
        <f t="shared" si="215"/>
        <v>0</v>
      </c>
      <c r="M425" s="23">
        <f>(L425/60)*VLOOKUP(C425,Employees!A:J,10,0)*2</f>
        <v>0</v>
      </c>
      <c r="N425" s="24">
        <f t="shared" si="216"/>
        <v>71.000000000000071</v>
      </c>
      <c r="O425" s="25">
        <f>(N425/60)*VLOOKUP(C425,Employees!A:J,10,0)*1.5</f>
        <v>72.314814814814881</v>
      </c>
      <c r="P425" s="23">
        <f>IF(G425="غياب",VLOOKUP(C425,Employees!$A$3:$J$36,9,FALSE()),0)</f>
        <v>0</v>
      </c>
    </row>
    <row r="426" spans="1:16" ht="15" customHeight="1">
      <c r="A426" s="17" t="s">
        <v>72</v>
      </c>
      <c r="B426" s="19" t="s">
        <v>73</v>
      </c>
      <c r="C426" s="19" t="s">
        <v>32</v>
      </c>
      <c r="D426" s="19" t="str">
        <f>VLOOKUP(C426,Employees!A:J,2,0)</f>
        <v>معتز شوقى</v>
      </c>
      <c r="E426" s="20">
        <v>0.45833333333333298</v>
      </c>
      <c r="F426" s="20">
        <v>0.875</v>
      </c>
      <c r="G426" s="21" t="s">
        <v>69</v>
      </c>
      <c r="H426" s="20">
        <v>0.50624999999999998</v>
      </c>
      <c r="I426" s="20">
        <v>0.90833333333333333</v>
      </c>
      <c r="J426" s="22">
        <f t="shared" si="214"/>
        <v>0</v>
      </c>
      <c r="K426" s="47">
        <f>(J426/60)*VLOOKUP(C426,Employees!A:J,10,0)*1.5</f>
        <v>0</v>
      </c>
      <c r="L426" s="22">
        <f t="shared" si="215"/>
        <v>69.000000000000497</v>
      </c>
      <c r="M426" s="23">
        <f>(L426/60)*VLOOKUP(C426,Employees!A:J,10,0)*2</f>
        <v>93.703703703704377</v>
      </c>
      <c r="N426" s="24">
        <f t="shared" si="216"/>
        <v>47.999999999999986</v>
      </c>
      <c r="O426" s="25">
        <f>(N426/60)*VLOOKUP(C426,Employees!A:J,10,0)*1.5</f>
        <v>48.888888888888872</v>
      </c>
      <c r="P426" s="23">
        <f>IF(G426="غياب",VLOOKUP(C426,Employees!$A$3:$J$36,9,FALSE()),0)</f>
        <v>0</v>
      </c>
    </row>
    <row r="427" spans="1:16" ht="15" customHeight="1">
      <c r="A427" s="48" t="s">
        <v>74</v>
      </c>
      <c r="B427" s="49" t="s">
        <v>75</v>
      </c>
      <c r="C427" s="49" t="s">
        <v>32</v>
      </c>
      <c r="D427" s="49" t="str">
        <f>VLOOKUP(C427,Employees!A:J,2,0)</f>
        <v>معتز شوقى</v>
      </c>
      <c r="E427" s="50">
        <v>0.45833333333333298</v>
      </c>
      <c r="F427" s="50">
        <v>0.875</v>
      </c>
      <c r="G427" s="51" t="s">
        <v>130</v>
      </c>
      <c r="H427" s="52" t="s">
        <v>78</v>
      </c>
      <c r="I427" s="52" t="s">
        <v>78</v>
      </c>
      <c r="J427" s="22">
        <f t="shared" si="204"/>
        <v>0</v>
      </c>
      <c r="K427" s="47">
        <f>(J427/60)*VLOOKUP(C427,Employees!A:J,10,0)*1.5</f>
        <v>0</v>
      </c>
      <c r="L427" s="22" t="s">
        <v>78</v>
      </c>
      <c r="M427" s="23" t="s">
        <v>78</v>
      </c>
      <c r="N427" s="24" t="s">
        <v>78</v>
      </c>
      <c r="O427" s="25" t="s">
        <v>78</v>
      </c>
      <c r="P427" s="23">
        <f>IF(G427="غياب",VLOOKUP(C427,Employees!$A$3:$J$36,9,FALSE()),0)</f>
        <v>407.40740740740739</v>
      </c>
    </row>
    <row r="428" spans="1:16" ht="15" customHeight="1">
      <c r="A428" s="26" t="s">
        <v>76</v>
      </c>
      <c r="B428" s="28" t="s">
        <v>77</v>
      </c>
      <c r="C428" s="28" t="s">
        <v>32</v>
      </c>
      <c r="D428" s="28" t="str">
        <f>VLOOKUP(C428,Employees!A:J,2,0)</f>
        <v>معتز شوقى</v>
      </c>
      <c r="E428" s="29" t="s">
        <v>78</v>
      </c>
      <c r="F428" s="29" t="s">
        <v>78</v>
      </c>
      <c r="G428" s="27" t="s">
        <v>79</v>
      </c>
      <c r="H428" s="29" t="s">
        <v>78</v>
      </c>
      <c r="I428" s="29" t="s">
        <v>78</v>
      </c>
      <c r="J428" s="22" t="s">
        <v>78</v>
      </c>
      <c r="K428" s="47" t="s">
        <v>78</v>
      </c>
      <c r="L428" s="22" t="s">
        <v>78</v>
      </c>
      <c r="M428" s="23" t="s">
        <v>78</v>
      </c>
      <c r="N428" s="24" t="s">
        <v>78</v>
      </c>
      <c r="O428" s="24" t="s">
        <v>78</v>
      </c>
      <c r="P428" s="23">
        <f>IF(G428="غياب",VLOOKUP(C428,Employees!$A$3:$J$36,9,FALSE()),0)</f>
        <v>0</v>
      </c>
    </row>
    <row r="429" spans="1:16" ht="15" customHeight="1">
      <c r="A429" s="17" t="s">
        <v>80</v>
      </c>
      <c r="B429" s="19" t="s">
        <v>81</v>
      </c>
      <c r="C429" s="19" t="s">
        <v>32</v>
      </c>
      <c r="D429" s="19" t="str">
        <f>VLOOKUP(C429,Employees!A:J,2,0)</f>
        <v>معتز شوقى</v>
      </c>
      <c r="E429" s="20">
        <v>0.45833333333333298</v>
      </c>
      <c r="F429" s="20">
        <v>0.875</v>
      </c>
      <c r="G429" s="21" t="s">
        <v>69</v>
      </c>
      <c r="H429" s="20">
        <v>0.48402777777777778</v>
      </c>
      <c r="I429" s="20">
        <v>0.87361111111111112</v>
      </c>
      <c r="J429" s="22">
        <f>IF(OR(H429="",G429="غياب",G429="إجازة أسبوعية"),0,
IF(H429&gt;=E429-TIME(0,20,0),0,
IF(H429&gt;=E429-TIME(0,30,0),30,(E429-H429)*1440)))</f>
        <v>0</v>
      </c>
      <c r="K429" s="47">
        <f>(J429/60)*VLOOKUP(C429,Employees!A:J,10,0)*1.5</f>
        <v>0</v>
      </c>
      <c r="L429" s="22">
        <f>IF(OR(H429="",G429="غياب",G429="إجازة أسبوعية"),0,
IF(H429&lt;=E429+TIME(0,30,0),0,
30+((H429-(E429+TIME(0,30,0)))*1440)))</f>
        <v>37.000000000000533</v>
      </c>
      <c r="M429" s="23">
        <f>(L429/60)*VLOOKUP(C429,Employees!A:J,10,0)*2</f>
        <v>50.246913580247636</v>
      </c>
      <c r="N429" s="24">
        <f>IF(OR(I429="",G429="غياب",G429="إجازة أسبوعية",I429&lt;=F429),0,
IF(MOD(I429-F429,1)&lt;=TIME(0,25,0),0,MAX(0,(I429-F429)*1440)))</f>
        <v>0</v>
      </c>
      <c r="O429" s="25">
        <f>(N429/60)*VLOOKUP(C429,Employees!A:J,10,0)*1.5</f>
        <v>0</v>
      </c>
      <c r="P429" s="23">
        <f>IF(G429="غياب",VLOOKUP(C429,Employees!$A$3:$J$36,9,FALSE()),0)</f>
        <v>0</v>
      </c>
    </row>
    <row r="430" spans="1:16" ht="15" customHeight="1">
      <c r="A430" s="48" t="s">
        <v>82</v>
      </c>
      <c r="B430" s="49" t="s">
        <v>83</v>
      </c>
      <c r="C430" s="49" t="s">
        <v>32</v>
      </c>
      <c r="D430" s="49" t="str">
        <f>VLOOKUP(C430,Employees!A:J,2,0)</f>
        <v>معتز شوقى</v>
      </c>
      <c r="E430" s="50">
        <v>0.45833333333333298</v>
      </c>
      <c r="F430" s="50">
        <v>0.875</v>
      </c>
      <c r="G430" s="51" t="s">
        <v>130</v>
      </c>
      <c r="H430" s="52" t="s">
        <v>78</v>
      </c>
      <c r="I430" s="52" t="s">
        <v>78</v>
      </c>
      <c r="J430" s="22">
        <f t="shared" si="204"/>
        <v>0</v>
      </c>
      <c r="K430" s="47">
        <f>(J430/60)*VLOOKUP(C430,Employees!A:J,10,0)*1.5</f>
        <v>0</v>
      </c>
      <c r="L430" s="22" t="s">
        <v>78</v>
      </c>
      <c r="M430" s="23" t="s">
        <v>78</v>
      </c>
      <c r="N430" s="24" t="s">
        <v>78</v>
      </c>
      <c r="O430" s="25" t="s">
        <v>78</v>
      </c>
      <c r="P430" s="23">
        <f>IF(G430="غياب",VLOOKUP(C430,Employees!$A$3:$J$36,9,FALSE()),0)</f>
        <v>407.40740740740739</v>
      </c>
    </row>
    <row r="431" spans="1:16" ht="15" customHeight="1">
      <c r="A431" s="17" t="s">
        <v>84</v>
      </c>
      <c r="B431" s="19" t="s">
        <v>68</v>
      </c>
      <c r="C431" s="19" t="s">
        <v>32</v>
      </c>
      <c r="D431" s="19" t="str">
        <f>VLOOKUP(C431,Employees!A:J,2,0)</f>
        <v>معتز شوقى</v>
      </c>
      <c r="E431" s="20">
        <v>0.45833333333333298</v>
      </c>
      <c r="F431" s="20">
        <v>0.875</v>
      </c>
      <c r="G431" s="21" t="s">
        <v>69</v>
      </c>
      <c r="H431" s="20">
        <v>0.49236111111111114</v>
      </c>
      <c r="I431" s="20">
        <v>0.89513888888888893</v>
      </c>
      <c r="J431" s="22">
        <f t="shared" ref="J431:J434" si="217">IF(OR(H431="",G431="غياب",G431="إجازة أسبوعية"),0,
IF(H431&gt;=E431-TIME(0,20,0),0,
IF(H431&gt;=E431-TIME(0,30,0),30,(E431-H431)*1440)))</f>
        <v>0</v>
      </c>
      <c r="K431" s="47">
        <f>(J431/60)*VLOOKUP(C431,Employees!A:J,10,0)*1.5</f>
        <v>0</v>
      </c>
      <c r="L431" s="22">
        <f t="shared" ref="L431:L434" si="218">IF(OR(H431="",G431="غياب",G431="إجازة أسبوعية"),0,
IF(H431&lt;=E431+TIME(0,30,0),0,
30+((H431-(E431+TIME(0,30,0)))*1440)))</f>
        <v>49.000000000000568</v>
      </c>
      <c r="M431" s="23">
        <f>(L431/60)*VLOOKUP(C431,Employees!A:J,10,0)*2</f>
        <v>66.543209876543983</v>
      </c>
      <c r="N431" s="24">
        <f t="shared" ref="N431:N434" si="219">IF(OR(I431="",G431="غياب",G431="إجازة أسبوعية",I431&lt;=F431),0,
IF(MOD(I431-F431,1)&lt;=TIME(0,25,0),0,MAX(0,(I431-F431)*1440)))</f>
        <v>29.000000000000057</v>
      </c>
      <c r="O431" s="25">
        <f>(N431/60)*VLOOKUP(C431,Employees!A:J,10,0)*1.5</f>
        <v>29.537037037037095</v>
      </c>
      <c r="P431" s="23">
        <f>IF(G431="غياب",VLOOKUP(C431,Employees!$A$3:$J$36,9,FALSE()),0)</f>
        <v>0</v>
      </c>
    </row>
    <row r="432" spans="1:16" ht="15" customHeight="1">
      <c r="A432" s="17" t="s">
        <v>85</v>
      </c>
      <c r="B432" s="19" t="s">
        <v>71</v>
      </c>
      <c r="C432" s="19" t="s">
        <v>32</v>
      </c>
      <c r="D432" s="19" t="str">
        <f>VLOOKUP(C432,Employees!A:J,2,0)</f>
        <v>معتز شوقى</v>
      </c>
      <c r="E432" s="20">
        <v>0.45833333333333298</v>
      </c>
      <c r="F432" s="20">
        <v>0.875</v>
      </c>
      <c r="G432" s="21" t="s">
        <v>69</v>
      </c>
      <c r="H432" s="20">
        <v>0.50347222222222221</v>
      </c>
      <c r="I432" s="20">
        <v>0.89861111111111114</v>
      </c>
      <c r="J432" s="22">
        <f t="shared" si="217"/>
        <v>0</v>
      </c>
      <c r="K432" s="47">
        <f>(J432/60)*VLOOKUP(C432,Employees!A:J,10,0)*1.5</f>
        <v>0</v>
      </c>
      <c r="L432" s="22">
        <f t="shared" si="218"/>
        <v>65.000000000000512</v>
      </c>
      <c r="M432" s="23">
        <f>(L432/60)*VLOOKUP(C432,Employees!A:J,10,0)*2</f>
        <v>88.271604938272304</v>
      </c>
      <c r="N432" s="24">
        <f t="shared" si="219"/>
        <v>34.000000000000043</v>
      </c>
      <c r="O432" s="25">
        <f>(N432/60)*VLOOKUP(C432,Employees!A:J,10,0)*1.5</f>
        <v>34.629629629629676</v>
      </c>
      <c r="P432" s="23">
        <f>IF(G432="غياب",VLOOKUP(C432,Employees!$A$3:$J$36,9,FALSE()),0)</f>
        <v>0</v>
      </c>
    </row>
    <row r="433" spans="1:16" ht="15" customHeight="1">
      <c r="A433" s="17" t="s">
        <v>86</v>
      </c>
      <c r="B433" s="19" t="s">
        <v>73</v>
      </c>
      <c r="C433" s="19" t="s">
        <v>32</v>
      </c>
      <c r="D433" s="19" t="str">
        <f>VLOOKUP(C433,Employees!A:J,2,0)</f>
        <v>معتز شوقى</v>
      </c>
      <c r="E433" s="20">
        <v>0.45833333333333298</v>
      </c>
      <c r="F433" s="20">
        <v>0.875</v>
      </c>
      <c r="G433" s="21" t="s">
        <v>69</v>
      </c>
      <c r="H433" s="20">
        <v>0.54652777777777772</v>
      </c>
      <c r="I433" s="20">
        <v>0.91666666666666663</v>
      </c>
      <c r="J433" s="22">
        <f t="shared" si="217"/>
        <v>0</v>
      </c>
      <c r="K433" s="47">
        <f>(J433/60)*VLOOKUP(C433,Employees!A:J,10,0)*1.5</f>
        <v>0</v>
      </c>
      <c r="L433" s="22">
        <f t="shared" si="218"/>
        <v>127.00000000000045</v>
      </c>
      <c r="M433" s="23">
        <f>(L433/60)*VLOOKUP(C433,Employees!A:J,10,0)*2</f>
        <v>172.46913580246976</v>
      </c>
      <c r="N433" s="24">
        <f t="shared" si="219"/>
        <v>59.999999999999943</v>
      </c>
      <c r="O433" s="25">
        <f>(N433/60)*VLOOKUP(C433,Employees!A:J,10,0)*1.5</f>
        <v>61.111111111111043</v>
      </c>
      <c r="P433" s="23">
        <f>IF(G433="غياب",VLOOKUP(C433,Employees!$A$3:$J$36,9,FALSE()),0)</f>
        <v>0</v>
      </c>
    </row>
    <row r="434" spans="1:16" ht="15" customHeight="1">
      <c r="A434" s="17" t="s">
        <v>87</v>
      </c>
      <c r="B434" s="19" t="s">
        <v>75</v>
      </c>
      <c r="C434" s="19" t="s">
        <v>32</v>
      </c>
      <c r="D434" s="19" t="str">
        <f>VLOOKUP(C434,Employees!A:J,2,0)</f>
        <v>معتز شوقى</v>
      </c>
      <c r="E434" s="20">
        <v>0.5</v>
      </c>
      <c r="F434" s="20">
        <v>0.91666666666666696</v>
      </c>
      <c r="G434" s="21" t="s">
        <v>69</v>
      </c>
      <c r="H434" s="20">
        <v>0.51458333333333328</v>
      </c>
      <c r="I434" s="20">
        <v>0.98541666666666672</v>
      </c>
      <c r="J434" s="22">
        <f t="shared" si="217"/>
        <v>0</v>
      </c>
      <c r="K434" s="47">
        <f>(J434/60)*VLOOKUP(C434,Employees!A:J,10,0)*1.5</f>
        <v>0</v>
      </c>
      <c r="L434" s="22">
        <f t="shared" si="218"/>
        <v>0</v>
      </c>
      <c r="M434" s="23">
        <f>(L434/60)*VLOOKUP(C434,Employees!A:J,10,0)*2</f>
        <v>0</v>
      </c>
      <c r="N434" s="24">
        <f t="shared" si="219"/>
        <v>98.999999999999645</v>
      </c>
      <c r="O434" s="25">
        <f>(N434/60)*VLOOKUP(C434,Employees!A:J,10,0)*1.5</f>
        <v>100.83333333333297</v>
      </c>
      <c r="P434" s="23">
        <f>IF(G434="غياب",VLOOKUP(C434,Employees!$A$3:$J$36,9,FALSE()),0)</f>
        <v>0</v>
      </c>
    </row>
    <row r="435" spans="1:16" ht="15" customHeight="1">
      <c r="A435" s="26" t="s">
        <v>88</v>
      </c>
      <c r="B435" s="28" t="s">
        <v>77</v>
      </c>
      <c r="C435" s="28" t="s">
        <v>32</v>
      </c>
      <c r="D435" s="28" t="str">
        <f>VLOOKUP(C435,Employees!A:J,2,0)</f>
        <v>معتز شوقى</v>
      </c>
      <c r="E435" s="29" t="s">
        <v>78</v>
      </c>
      <c r="F435" s="29" t="s">
        <v>78</v>
      </c>
      <c r="G435" s="27" t="s">
        <v>79</v>
      </c>
      <c r="H435" s="29" t="s">
        <v>78</v>
      </c>
      <c r="I435" s="29" t="s">
        <v>78</v>
      </c>
      <c r="J435" s="22" t="s">
        <v>78</v>
      </c>
      <c r="K435" s="47" t="s">
        <v>78</v>
      </c>
      <c r="L435" s="22" t="s">
        <v>78</v>
      </c>
      <c r="M435" s="23" t="s">
        <v>78</v>
      </c>
      <c r="N435" s="24" t="s">
        <v>78</v>
      </c>
      <c r="O435" s="24" t="s">
        <v>78</v>
      </c>
      <c r="P435" s="23">
        <f>IF(G435="غياب",VLOOKUP(C435,Employees!$A$3:$J$36,9,FALSE()),0)</f>
        <v>0</v>
      </c>
    </row>
    <row r="436" spans="1:16" ht="15" customHeight="1">
      <c r="A436" s="26" t="s">
        <v>89</v>
      </c>
      <c r="B436" s="28" t="s">
        <v>81</v>
      </c>
      <c r="C436" s="28" t="s">
        <v>32</v>
      </c>
      <c r="D436" s="28" t="str">
        <f>VLOOKUP(C436,Employees!A:J,2,0)</f>
        <v>معتز شوقى</v>
      </c>
      <c r="E436" s="29" t="s">
        <v>78</v>
      </c>
      <c r="F436" s="29" t="s">
        <v>78</v>
      </c>
      <c r="G436" s="27" t="s">
        <v>79</v>
      </c>
      <c r="H436" s="29" t="s">
        <v>78</v>
      </c>
      <c r="I436" s="29" t="s">
        <v>78</v>
      </c>
      <c r="J436" s="22" t="s">
        <v>78</v>
      </c>
      <c r="K436" s="47" t="s">
        <v>78</v>
      </c>
      <c r="L436" s="22" t="s">
        <v>78</v>
      </c>
      <c r="M436" s="23" t="s">
        <v>78</v>
      </c>
      <c r="N436" s="24" t="s">
        <v>78</v>
      </c>
      <c r="O436" s="24" t="s">
        <v>78</v>
      </c>
      <c r="P436" s="23">
        <f>IF(G436="غياب",VLOOKUP(C436,Employees!$A$3:$J$36,9,FALSE()),0)</f>
        <v>0</v>
      </c>
    </row>
    <row r="437" spans="1:16" ht="15" customHeight="1">
      <c r="A437" s="17" t="s">
        <v>90</v>
      </c>
      <c r="B437" s="19" t="s">
        <v>83</v>
      </c>
      <c r="C437" s="19" t="s">
        <v>32</v>
      </c>
      <c r="D437" s="19" t="str">
        <f>VLOOKUP(C437,Employees!A:J,2,0)</f>
        <v>معتز شوقى</v>
      </c>
      <c r="E437" s="20">
        <v>0.5</v>
      </c>
      <c r="F437" s="20">
        <v>0.91666666666666696</v>
      </c>
      <c r="G437" s="21" t="s">
        <v>69</v>
      </c>
      <c r="H437" s="20">
        <v>0.52152777777777781</v>
      </c>
      <c r="I437" s="20">
        <v>0.92083333333333328</v>
      </c>
      <c r="J437" s="22">
        <f t="shared" ref="J437:J441" si="220">IF(OR(H437="",G437="غياب",G437="إجازة أسبوعية"),0,
IF(H437&gt;=E437-TIME(0,20,0),0,
IF(H437&gt;=E437-TIME(0,30,0),30,(E437-H437)*1440)))</f>
        <v>0</v>
      </c>
      <c r="K437" s="47">
        <f>(J437/60)*VLOOKUP(C437,Employees!A:J,10,0)*1.5</f>
        <v>0</v>
      </c>
      <c r="L437" s="22">
        <f t="shared" ref="L437:L441" si="221">IF(OR(H437="",G437="غياب",G437="إجازة أسبوعية"),0,
IF(H437&lt;=E437+TIME(0,30,0),0,
30+((H437-(E437+TIME(0,30,0)))*1440)))</f>
        <v>30.999999999999996</v>
      </c>
      <c r="M437" s="23">
        <f>(L437/60)*VLOOKUP(C437,Employees!A:J,10,0)*2</f>
        <v>42.098765432098759</v>
      </c>
      <c r="N437" s="24">
        <f t="shared" ref="N437:N441" si="222">IF(OR(I437="",G437="غياب",G437="إجازة أسبوعية",I437&lt;=F437),0,
IF(MOD(I437-F437,1)&lt;=TIME(0,25,0),0,MAX(0,(I437-F437)*1440)))</f>
        <v>0</v>
      </c>
      <c r="O437" s="25">
        <f>(N437/60)*VLOOKUP(C437,Employees!A:J,10,0)*1.5</f>
        <v>0</v>
      </c>
      <c r="P437" s="23">
        <f>IF(G437="غياب",VLOOKUP(C437,Employees!$A$3:$J$36,9,FALSE()),0)</f>
        <v>0</v>
      </c>
    </row>
    <row r="438" spans="1:16" ht="15" customHeight="1">
      <c r="A438" s="17" t="s">
        <v>91</v>
      </c>
      <c r="B438" s="19" t="s">
        <v>68</v>
      </c>
      <c r="C438" s="19" t="s">
        <v>32</v>
      </c>
      <c r="D438" s="19" t="str">
        <f>VLOOKUP(C438,Employees!A:J,2,0)</f>
        <v>معتز شوقى</v>
      </c>
      <c r="E438" s="20">
        <v>0.5</v>
      </c>
      <c r="F438" s="20">
        <v>0.91666666666666696</v>
      </c>
      <c r="G438" s="21" t="s">
        <v>69</v>
      </c>
      <c r="H438" s="20">
        <v>0.52222222222222225</v>
      </c>
      <c r="I438" s="20">
        <v>0.9243055555555556</v>
      </c>
      <c r="J438" s="22">
        <f t="shared" si="220"/>
        <v>0</v>
      </c>
      <c r="K438" s="47">
        <f>(J438/60)*VLOOKUP(C438,Employees!A:J,10,0)*1.5</f>
        <v>0</v>
      </c>
      <c r="L438" s="22">
        <f t="shared" si="221"/>
        <v>31.999999999999993</v>
      </c>
      <c r="M438" s="23">
        <f>(L438/60)*VLOOKUP(C438,Employees!A:J,10,0)*2</f>
        <v>43.456790123456777</v>
      </c>
      <c r="N438" s="24">
        <f t="shared" si="222"/>
        <v>0</v>
      </c>
      <c r="O438" s="25">
        <f>(N438/60)*VLOOKUP(C438,Employees!A:J,10,0)*1.5</f>
        <v>0</v>
      </c>
      <c r="P438" s="23">
        <f>IF(G438="غياب",VLOOKUP(C438,Employees!$A$3:$J$36,9,FALSE()),0)</f>
        <v>0</v>
      </c>
    </row>
    <row r="439" spans="1:16" ht="15" customHeight="1">
      <c r="A439" s="17" t="s">
        <v>92</v>
      </c>
      <c r="B439" s="19" t="s">
        <v>71</v>
      </c>
      <c r="C439" s="19" t="s">
        <v>32</v>
      </c>
      <c r="D439" s="19" t="str">
        <f>VLOOKUP(C439,Employees!A:J,2,0)</f>
        <v>معتز شوقى</v>
      </c>
      <c r="E439" s="20">
        <v>0.5</v>
      </c>
      <c r="F439" s="20">
        <v>0.91666666666666696</v>
      </c>
      <c r="G439" s="21" t="s">
        <v>69</v>
      </c>
      <c r="H439" s="20">
        <v>0.52777777777777779</v>
      </c>
      <c r="I439" s="20">
        <v>0.91597222222222219</v>
      </c>
      <c r="J439" s="22">
        <f t="shared" si="220"/>
        <v>0</v>
      </c>
      <c r="K439" s="47">
        <f>(J439/60)*VLOOKUP(C439,Employees!A:J,10,0)*1.5</f>
        <v>0</v>
      </c>
      <c r="L439" s="22">
        <f t="shared" si="221"/>
        <v>39.999999999999964</v>
      </c>
      <c r="M439" s="23">
        <f>(L439/60)*VLOOKUP(C439,Employees!A:J,10,0)*2</f>
        <v>54.320987654320938</v>
      </c>
      <c r="N439" s="24">
        <f t="shared" si="222"/>
        <v>0</v>
      </c>
      <c r="O439" s="25">
        <f>(N439/60)*VLOOKUP(C439,Employees!A:J,10,0)*1.5</f>
        <v>0</v>
      </c>
      <c r="P439" s="23">
        <f>IF(G439="غياب",VLOOKUP(C439,Employees!$A$3:$J$36,9,FALSE()),0)</f>
        <v>0</v>
      </c>
    </row>
    <row r="440" spans="1:16" ht="15" customHeight="1">
      <c r="A440" s="17" t="s">
        <v>93</v>
      </c>
      <c r="B440" s="19" t="s">
        <v>73</v>
      </c>
      <c r="C440" s="19" t="s">
        <v>32</v>
      </c>
      <c r="D440" s="19" t="str">
        <f>VLOOKUP(C440,Employees!A:J,2,0)</f>
        <v>معتز شوقى</v>
      </c>
      <c r="E440" s="20">
        <v>0.5</v>
      </c>
      <c r="F440" s="20">
        <v>0.91666666666666696</v>
      </c>
      <c r="G440" s="21" t="s">
        <v>69</v>
      </c>
      <c r="H440" s="20">
        <v>0.55277777777777781</v>
      </c>
      <c r="I440" s="20">
        <v>0.90902777777777777</v>
      </c>
      <c r="J440" s="22">
        <f t="shared" si="220"/>
        <v>0</v>
      </c>
      <c r="K440" s="47">
        <f>(J440/60)*VLOOKUP(C440,Employees!A:J,10,0)*1.5</f>
        <v>0</v>
      </c>
      <c r="L440" s="22">
        <f t="shared" si="221"/>
        <v>76</v>
      </c>
      <c r="M440" s="23">
        <f>(L440/60)*VLOOKUP(C440,Employees!A:J,10,0)*2</f>
        <v>103.20987654320987</v>
      </c>
      <c r="N440" s="24">
        <f t="shared" si="222"/>
        <v>0</v>
      </c>
      <c r="O440" s="25">
        <f>(N440/60)*VLOOKUP(C440,Employees!A:J,10,0)*1.5</f>
        <v>0</v>
      </c>
      <c r="P440" s="23">
        <f>IF(G440="غياب",VLOOKUP(C440,Employees!$A$3:$J$36,9,FALSE()),0)</f>
        <v>0</v>
      </c>
    </row>
    <row r="441" spans="1:16" ht="15" customHeight="1">
      <c r="A441" s="17" t="s">
        <v>94</v>
      </c>
      <c r="B441" s="19" t="s">
        <v>75</v>
      </c>
      <c r="C441" s="19" t="s">
        <v>32</v>
      </c>
      <c r="D441" s="19" t="str">
        <f>VLOOKUP(C441,Employees!A:J,2,0)</f>
        <v>معتز شوقى</v>
      </c>
      <c r="E441" s="20">
        <v>0.5</v>
      </c>
      <c r="F441" s="20">
        <v>0.91666666666666696</v>
      </c>
      <c r="G441" s="21" t="s">
        <v>69</v>
      </c>
      <c r="H441" s="20">
        <v>0.50416666666666665</v>
      </c>
      <c r="I441" s="20">
        <v>0.94930555555555551</v>
      </c>
      <c r="J441" s="22">
        <f t="shared" si="220"/>
        <v>0</v>
      </c>
      <c r="K441" s="47">
        <f>(J441/60)*VLOOKUP(C441,Employees!A:J,10,0)*1.5</f>
        <v>0</v>
      </c>
      <c r="L441" s="22">
        <f t="shared" si="221"/>
        <v>0</v>
      </c>
      <c r="M441" s="23">
        <f>(L441/60)*VLOOKUP(C441,Employees!A:J,10,0)*2</f>
        <v>0</v>
      </c>
      <c r="N441" s="24">
        <f t="shared" si="222"/>
        <v>46.999999999999517</v>
      </c>
      <c r="O441" s="25">
        <f>(N441/60)*VLOOKUP(C441,Employees!A:J,10,0)*1.5</f>
        <v>47.870370370369884</v>
      </c>
      <c r="P441" s="23">
        <f>IF(G441="غياب",VLOOKUP(C441,Employees!$A$3:$J$36,9,FALSE()),0)</f>
        <v>0</v>
      </c>
    </row>
    <row r="442" spans="1:16" ht="15" customHeight="1">
      <c r="A442" s="26" t="s">
        <v>95</v>
      </c>
      <c r="B442" s="28" t="s">
        <v>77</v>
      </c>
      <c r="C442" s="28" t="s">
        <v>32</v>
      </c>
      <c r="D442" s="28" t="str">
        <f>VLOOKUP(C442,Employees!A:J,2,0)</f>
        <v>معتز شوقى</v>
      </c>
      <c r="E442" s="29" t="s">
        <v>78</v>
      </c>
      <c r="F442" s="29" t="s">
        <v>78</v>
      </c>
      <c r="G442" s="27" t="s">
        <v>79</v>
      </c>
      <c r="H442" s="29" t="s">
        <v>78</v>
      </c>
      <c r="I442" s="29" t="s">
        <v>78</v>
      </c>
      <c r="J442" s="22" t="s">
        <v>78</v>
      </c>
      <c r="K442" s="47" t="s">
        <v>78</v>
      </c>
      <c r="L442" s="22" t="s">
        <v>78</v>
      </c>
      <c r="M442" s="23" t="s">
        <v>78</v>
      </c>
      <c r="N442" s="24" t="s">
        <v>78</v>
      </c>
      <c r="O442" s="24" t="s">
        <v>78</v>
      </c>
      <c r="P442" s="23">
        <f>IF(G442="غياب",VLOOKUP(C442,Employees!$A$3:$J$36,9,FALSE()),0)</f>
        <v>0</v>
      </c>
    </row>
    <row r="443" spans="1:16" ht="15" customHeight="1">
      <c r="A443" s="17" t="s">
        <v>96</v>
      </c>
      <c r="B443" s="19" t="s">
        <v>81</v>
      </c>
      <c r="C443" s="19" t="s">
        <v>32</v>
      </c>
      <c r="D443" s="19" t="str">
        <f>VLOOKUP(C443,Employees!A:J,2,0)</f>
        <v>معتز شوقى</v>
      </c>
      <c r="E443" s="20">
        <v>0.5</v>
      </c>
      <c r="F443" s="30">
        <v>0.875</v>
      </c>
      <c r="G443" s="21" t="s">
        <v>69</v>
      </c>
      <c r="H443" s="20">
        <v>0.52500000000000002</v>
      </c>
      <c r="I443" s="20">
        <v>0.94166666666666665</v>
      </c>
      <c r="J443" s="22">
        <f t="shared" ref="J443:J448" si="223">IF(OR(H443="",G443="غياب",G443="إجازة أسبوعية"),0,
IF(H443&gt;=E443-TIME(0,20,0),0,
IF(H443&gt;=E443-TIME(0,30,0),30,(E443-H443)*1440)))</f>
        <v>0</v>
      </c>
      <c r="K443" s="47">
        <f>(J443/60)*VLOOKUP(C443,Employees!A:J,10,0)*1.5</f>
        <v>0</v>
      </c>
      <c r="L443" s="22">
        <f t="shared" ref="L443:L448" si="224">IF(OR(H443="",G443="غياب",G443="إجازة أسبوعية"),0,
IF(H443&lt;=E443+TIME(0,30,0),0,
30+((H443-(E443+TIME(0,30,0)))*1440)))</f>
        <v>35.999999999999979</v>
      </c>
      <c r="M443" s="23">
        <f>(L443/60)*VLOOKUP(C443,Employees!A:J,10,0)*2</f>
        <v>48.888888888888857</v>
      </c>
      <c r="N443" s="24">
        <f t="shared" ref="N443:N448" si="225">IF(OR(I443="",G443="غياب",G443="إجازة أسبوعية",I443&lt;=F443),0,
IF(MOD(I443-F443,1)&lt;=TIME(0,25,0),0,MAX(0,(I443-F443)*1440)))</f>
        <v>95.999999999999972</v>
      </c>
      <c r="O443" s="25">
        <f>(N443/60)*VLOOKUP(C443,Employees!A:J,10,0)*1.5</f>
        <v>97.777777777777743</v>
      </c>
      <c r="P443" s="23">
        <f>IF(G443="غياب",VLOOKUP(C443,Employees!$A$3:$J$36,9,FALSE()),0)</f>
        <v>0</v>
      </c>
    </row>
    <row r="444" spans="1:16" ht="15" customHeight="1">
      <c r="A444" s="17" t="s">
        <v>97</v>
      </c>
      <c r="B444" s="19" t="s">
        <v>83</v>
      </c>
      <c r="C444" s="19" t="s">
        <v>32</v>
      </c>
      <c r="D444" s="19" t="str">
        <f>VLOOKUP(C444,Employees!A:J,2,0)</f>
        <v>معتز شوقى</v>
      </c>
      <c r="E444" s="20">
        <v>0.5</v>
      </c>
      <c r="F444" s="30">
        <v>0.875</v>
      </c>
      <c r="G444" s="21" t="s">
        <v>69</v>
      </c>
      <c r="H444" s="20">
        <v>0.52708333333333335</v>
      </c>
      <c r="I444" s="20">
        <v>0.89027777777777772</v>
      </c>
      <c r="J444" s="22">
        <f t="shared" si="223"/>
        <v>0</v>
      </c>
      <c r="K444" s="47">
        <f>(J444/60)*VLOOKUP(C444,Employees!A:J,10,0)*1.5</f>
        <v>0</v>
      </c>
      <c r="L444" s="22">
        <f t="shared" si="224"/>
        <v>38.999999999999972</v>
      </c>
      <c r="M444" s="23">
        <f>(L444/60)*VLOOKUP(C444,Employees!A:J,10,0)*2</f>
        <v>52.962962962962926</v>
      </c>
      <c r="N444" s="24">
        <f t="shared" si="225"/>
        <v>0</v>
      </c>
      <c r="O444" s="25">
        <f>(N444/60)*VLOOKUP(C444,Employees!A:J,10,0)*1.5</f>
        <v>0</v>
      </c>
      <c r="P444" s="23">
        <f>IF(G444="غياب",VLOOKUP(C444,Employees!$A$3:$J$36,9,FALSE()),0)</f>
        <v>0</v>
      </c>
    </row>
    <row r="445" spans="1:16" ht="15" customHeight="1">
      <c r="A445" s="17" t="s">
        <v>98</v>
      </c>
      <c r="B445" s="19" t="s">
        <v>68</v>
      </c>
      <c r="C445" s="19" t="s">
        <v>32</v>
      </c>
      <c r="D445" s="19" t="str">
        <f>VLOOKUP(C445,Employees!A:J,2,0)</f>
        <v>معتز شوقى</v>
      </c>
      <c r="E445" s="20">
        <v>0.5</v>
      </c>
      <c r="F445" s="30">
        <v>0.875</v>
      </c>
      <c r="G445" s="21" t="s">
        <v>69</v>
      </c>
      <c r="H445" s="20">
        <v>0.51736111111111116</v>
      </c>
      <c r="I445" s="20">
        <v>0.94305555555555554</v>
      </c>
      <c r="J445" s="22">
        <f t="shared" si="223"/>
        <v>0</v>
      </c>
      <c r="K445" s="47">
        <f>(J445/60)*VLOOKUP(C445,Employees!A:J,10,0)*1.5</f>
        <v>0</v>
      </c>
      <c r="L445" s="22">
        <f t="shared" si="224"/>
        <v>0</v>
      </c>
      <c r="M445" s="23">
        <f>(L445/60)*VLOOKUP(C445,Employees!A:J,10,0)*2</f>
        <v>0</v>
      </c>
      <c r="N445" s="24">
        <f t="shared" si="225"/>
        <v>97.999999999999972</v>
      </c>
      <c r="O445" s="25">
        <f>(N445/60)*VLOOKUP(C445,Employees!A:J,10,0)*1.5</f>
        <v>99.814814814814781</v>
      </c>
      <c r="P445" s="23">
        <f>IF(G445="غياب",VLOOKUP(C445,Employees!$A$3:$J$36,9,FALSE()),0)</f>
        <v>0</v>
      </c>
    </row>
    <row r="446" spans="1:16" ht="15" customHeight="1">
      <c r="A446" s="17" t="s">
        <v>99</v>
      </c>
      <c r="B446" s="19" t="s">
        <v>71</v>
      </c>
      <c r="C446" s="19" t="s">
        <v>32</v>
      </c>
      <c r="D446" s="19" t="str">
        <f>VLOOKUP(C446,Employees!A:J,2,0)</f>
        <v>معتز شوقى</v>
      </c>
      <c r="E446" s="20">
        <v>0.5</v>
      </c>
      <c r="F446" s="30">
        <v>0.875</v>
      </c>
      <c r="G446" s="21" t="s">
        <v>69</v>
      </c>
      <c r="H446" s="20">
        <v>0.54513888888888884</v>
      </c>
      <c r="I446" s="20">
        <v>0.93541666666666667</v>
      </c>
      <c r="J446" s="22">
        <f t="shared" si="223"/>
        <v>0</v>
      </c>
      <c r="K446" s="47">
        <f>(J446/60)*VLOOKUP(C446,Employees!A:J,10,0)*1.5</f>
        <v>0</v>
      </c>
      <c r="L446" s="22">
        <f t="shared" si="224"/>
        <v>64.999999999999872</v>
      </c>
      <c r="M446" s="23">
        <f>(L446/60)*VLOOKUP(C446,Employees!A:J,10,0)*2</f>
        <v>88.271604938271437</v>
      </c>
      <c r="N446" s="24">
        <f t="shared" si="225"/>
        <v>87.000000000000014</v>
      </c>
      <c r="O446" s="25">
        <f>(N446/60)*VLOOKUP(C446,Employees!A:J,10,0)*1.5</f>
        <v>88.611111111111128</v>
      </c>
      <c r="P446" s="23">
        <f>IF(G446="غياب",VLOOKUP(C446,Employees!$A$3:$J$36,9,FALSE()),0)</f>
        <v>0</v>
      </c>
    </row>
    <row r="447" spans="1:16" ht="15" customHeight="1">
      <c r="A447" s="17" t="s">
        <v>100</v>
      </c>
      <c r="B447" s="19" t="s">
        <v>73</v>
      </c>
      <c r="C447" s="19" t="s">
        <v>32</v>
      </c>
      <c r="D447" s="19" t="str">
        <f>VLOOKUP(C447,Employees!A:J,2,0)</f>
        <v>معتز شوقى</v>
      </c>
      <c r="E447" s="20">
        <v>0.5</v>
      </c>
      <c r="F447" s="30">
        <v>0.875</v>
      </c>
      <c r="G447" s="21" t="s">
        <v>69</v>
      </c>
      <c r="H447" s="20">
        <v>0.46458333333333335</v>
      </c>
      <c r="I447" s="20">
        <v>0.88541666666666663</v>
      </c>
      <c r="J447" s="22">
        <f t="shared" si="223"/>
        <v>50.999999999999979</v>
      </c>
      <c r="K447" s="47">
        <f>(J447/60)*VLOOKUP(C447,Employees!A:J,10,0)*1.5</f>
        <v>51.944444444444414</v>
      </c>
      <c r="L447" s="22">
        <f t="shared" si="224"/>
        <v>0</v>
      </c>
      <c r="M447" s="23">
        <f>(L447/60)*VLOOKUP(C447,Employees!A:J,10,0)*2</f>
        <v>0</v>
      </c>
      <c r="N447" s="24">
        <f t="shared" si="225"/>
        <v>0</v>
      </c>
      <c r="O447" s="25">
        <f>(N447/60)*VLOOKUP(C447,Employees!A:J,10,0)*1.5</f>
        <v>0</v>
      </c>
      <c r="P447" s="23">
        <f>IF(G447="غياب",VLOOKUP(C447,Employees!$A$3:$J$36,9,FALSE()),0)</f>
        <v>0</v>
      </c>
    </row>
    <row r="448" spans="1:16" ht="15" customHeight="1">
      <c r="A448" s="17" t="s">
        <v>101</v>
      </c>
      <c r="B448" s="19" t="s">
        <v>75</v>
      </c>
      <c r="C448" s="19" t="s">
        <v>32</v>
      </c>
      <c r="D448" s="19" t="str">
        <f>VLOOKUP(C448,Employees!A:J,2,0)</f>
        <v>معتز شوقى</v>
      </c>
      <c r="E448" s="20">
        <v>0.5</v>
      </c>
      <c r="F448" s="30">
        <v>0.875</v>
      </c>
      <c r="G448" s="21" t="s">
        <v>69</v>
      </c>
      <c r="H448" s="20">
        <v>0.4861111111111111</v>
      </c>
      <c r="I448" s="20">
        <v>0.99236111111111114</v>
      </c>
      <c r="J448" s="22">
        <f t="shared" si="223"/>
        <v>0</v>
      </c>
      <c r="K448" s="47">
        <f>(J448/60)*VLOOKUP(C448,Employees!A:J,10,0)*1.5</f>
        <v>0</v>
      </c>
      <c r="L448" s="22">
        <f t="shared" si="224"/>
        <v>0</v>
      </c>
      <c r="M448" s="23">
        <f>(L448/60)*VLOOKUP(C448,Employees!A:J,10,0)*2</f>
        <v>0</v>
      </c>
      <c r="N448" s="24">
        <f t="shared" si="225"/>
        <v>169.00000000000003</v>
      </c>
      <c r="O448" s="25">
        <f>(N448/60)*VLOOKUP(C448,Employees!A:J,10,0)*1.5</f>
        <v>172.12962962962968</v>
      </c>
      <c r="P448" s="23">
        <f>IF(G448="غياب",VLOOKUP(C448,Employees!$A$3:$J$36,9,FALSE()),0)</f>
        <v>0</v>
      </c>
    </row>
    <row r="449" spans="1:16" ht="15" customHeight="1">
      <c r="A449" s="26" t="s">
        <v>102</v>
      </c>
      <c r="B449" s="28" t="s">
        <v>77</v>
      </c>
      <c r="C449" s="28" t="s">
        <v>32</v>
      </c>
      <c r="D449" s="28" t="str">
        <f>VLOOKUP(C449,Employees!A:J,2,0)</f>
        <v>معتز شوقى</v>
      </c>
      <c r="E449" s="29" t="s">
        <v>78</v>
      </c>
      <c r="F449" s="29" t="s">
        <v>78</v>
      </c>
      <c r="G449" s="27" t="s">
        <v>79</v>
      </c>
      <c r="H449" s="29" t="s">
        <v>78</v>
      </c>
      <c r="I449" s="29" t="s">
        <v>78</v>
      </c>
      <c r="J449" s="22" t="s">
        <v>78</v>
      </c>
      <c r="K449" s="47" t="s">
        <v>78</v>
      </c>
      <c r="L449" s="22" t="s">
        <v>78</v>
      </c>
      <c r="M449" s="23" t="s">
        <v>78</v>
      </c>
      <c r="N449" s="24" t="s">
        <v>78</v>
      </c>
      <c r="O449" s="24" t="s">
        <v>78</v>
      </c>
      <c r="P449" s="23">
        <f>IF(G449="غياب",VLOOKUP(C449,Employees!$A$3:$J$36,9,FALSE()),0)</f>
        <v>0</v>
      </c>
    </row>
    <row r="450" spans="1:16" ht="15" customHeight="1">
      <c r="A450" s="17" t="s">
        <v>103</v>
      </c>
      <c r="B450" s="19" t="s">
        <v>81</v>
      </c>
      <c r="C450" s="19" t="s">
        <v>32</v>
      </c>
      <c r="D450" s="19" t="str">
        <f>VLOOKUP(C450,Employees!A:J,2,0)</f>
        <v>معتز شوقى</v>
      </c>
      <c r="E450" s="20">
        <v>0.5</v>
      </c>
      <c r="F450" s="30">
        <v>0.875</v>
      </c>
      <c r="G450" s="21" t="s">
        <v>69</v>
      </c>
      <c r="H450" s="20">
        <v>0.57916666666666672</v>
      </c>
      <c r="I450" s="20">
        <v>0.97083333333333333</v>
      </c>
      <c r="J450" s="22">
        <f>IF(OR(H450="",G450="غياب",G450="إجازة أسبوعية"),0,
IF(H450&gt;=E450-TIME(0,20,0),0,
IF(H450&gt;=E450-TIME(0,30,0),30,(E450-H450)*1440)))</f>
        <v>0</v>
      </c>
      <c r="K450" s="47">
        <f>(J450/60)*VLOOKUP(C450,Employees!A:J,10,0)*1.5</f>
        <v>0</v>
      </c>
      <c r="L450" s="22">
        <f>IF(OR(H450="",G450="غياب",G450="إجازة أسبوعية"),0,
IF(H450&lt;=E450+TIME(0,30,0),0,
30+((H450-(E450+TIME(0,30,0)))*1440)))</f>
        <v>114.00000000000003</v>
      </c>
      <c r="M450" s="23">
        <f>(L450/60)*VLOOKUP(C450,Employees!A:J,10,0)*2</f>
        <v>154.81481481481487</v>
      </c>
      <c r="N450" s="24">
        <f>IF(OR(I450="",G450="غياب",G450="إجازة أسبوعية",I450&lt;=F450),0,
IF(MOD(I450-F450,1)&lt;=TIME(0,25,0),0,MAX(0,(I450-F450)*1440)))</f>
        <v>138</v>
      </c>
      <c r="O450" s="25">
        <f>(N450/60)*VLOOKUP(C450,Employees!A:J,10,0)*1.5</f>
        <v>140.55555555555554</v>
      </c>
      <c r="P450" s="23">
        <f>IF(G450="غياب",VLOOKUP(C450,Employees!$A$3:$J$36,9,FALSE()),0)</f>
        <v>0</v>
      </c>
    </row>
    <row r="451" spans="1:16" ht="15" customHeight="1">
      <c r="A451" s="48" t="s">
        <v>104</v>
      </c>
      <c r="B451" s="49" t="s">
        <v>83</v>
      </c>
      <c r="C451" s="49" t="s">
        <v>32</v>
      </c>
      <c r="D451" s="49" t="str">
        <f>VLOOKUP(C451,Employees!A:J,2,0)</f>
        <v>معتز شوقى</v>
      </c>
      <c r="E451" s="50">
        <v>0.5</v>
      </c>
      <c r="F451" s="53">
        <v>0.875</v>
      </c>
      <c r="G451" s="51" t="s">
        <v>130</v>
      </c>
      <c r="H451" s="52" t="s">
        <v>78</v>
      </c>
      <c r="I451" s="52" t="s">
        <v>78</v>
      </c>
      <c r="J451" s="22">
        <f t="shared" si="204"/>
        <v>0</v>
      </c>
      <c r="K451" s="47">
        <f>(J451/60)*VLOOKUP(C451,Employees!A:J,10,0)*1.5</f>
        <v>0</v>
      </c>
      <c r="L451" s="22" t="s">
        <v>78</v>
      </c>
      <c r="M451" s="23" t="s">
        <v>78</v>
      </c>
      <c r="N451" s="24" t="s">
        <v>78</v>
      </c>
      <c r="O451" s="25" t="s">
        <v>78</v>
      </c>
      <c r="P451" s="23">
        <f>IF(G451="غياب",VLOOKUP(C451,Employees!$A$3:$J$36,9,FALSE()),0)</f>
        <v>407.40740740740739</v>
      </c>
    </row>
    <row r="452" spans="1:16" ht="15" customHeight="1">
      <c r="A452" s="17" t="s">
        <v>105</v>
      </c>
      <c r="B452" s="19" t="s">
        <v>68</v>
      </c>
      <c r="C452" s="19" t="s">
        <v>32</v>
      </c>
      <c r="D452" s="19" t="str">
        <f>VLOOKUP(C452,Employees!A:J,2,0)</f>
        <v>معتز شوقى</v>
      </c>
      <c r="E452" s="20">
        <v>0.5</v>
      </c>
      <c r="F452" s="30">
        <v>0.875</v>
      </c>
      <c r="G452" s="21" t="s">
        <v>69</v>
      </c>
      <c r="H452" s="20">
        <v>0.49166666666666664</v>
      </c>
      <c r="I452" s="20">
        <v>0.97777777777777775</v>
      </c>
      <c r="J452" s="22">
        <f t="shared" ref="J452:J457" si="226">IF(OR(H452="",G452="غياب",G452="إجازة أسبوعية"),0,
IF(H452&gt;=E452-TIME(0,20,0),0,
IF(H452&gt;=E452-TIME(0,30,0),30,(E452-H452)*1440)))</f>
        <v>0</v>
      </c>
      <c r="K452" s="47">
        <f>(J452/60)*VLOOKUP(C452,Employees!A:J,10,0)*1.5</f>
        <v>0</v>
      </c>
      <c r="L452" s="22">
        <f t="shared" ref="L452:L457" si="227">IF(OR(H452="",G452="غياب",G452="إجازة أسبوعية"),0,
IF(H452&lt;=E452+TIME(0,30,0),0,
30+((H452-(E452+TIME(0,30,0)))*1440)))</f>
        <v>0</v>
      </c>
      <c r="M452" s="23">
        <f>(L452/60)*VLOOKUP(C452,Employees!A:J,10,0)*2</f>
        <v>0</v>
      </c>
      <c r="N452" s="24">
        <f t="shared" ref="N452:N457" si="228">IF(OR(I452="",G452="غياب",G452="إجازة أسبوعية",I452&lt;=F452),0,
IF(MOD(I452-F452,1)&lt;=TIME(0,25,0),0,MAX(0,(I452-F452)*1440)))</f>
        <v>147.99999999999994</v>
      </c>
      <c r="O452" s="25">
        <f>(N452/60)*VLOOKUP(C452,Employees!A:J,10,0)*1.5</f>
        <v>150.7407407407407</v>
      </c>
      <c r="P452" s="23">
        <f>IF(G452="غياب",VLOOKUP(C452,Employees!$A$3:$J$36,9,FALSE()),0)</f>
        <v>0</v>
      </c>
    </row>
    <row r="453" spans="1:16" ht="15" customHeight="1">
      <c r="A453" s="17" t="s">
        <v>106</v>
      </c>
      <c r="B453" s="19" t="s">
        <v>71</v>
      </c>
      <c r="C453" s="19" t="s">
        <v>32</v>
      </c>
      <c r="D453" s="19" t="str">
        <f>VLOOKUP(C453,Employees!A:J,2,0)</f>
        <v>معتز شوقى</v>
      </c>
      <c r="E453" s="20">
        <v>0.5</v>
      </c>
      <c r="F453" s="30">
        <v>0.875</v>
      </c>
      <c r="G453" s="21" t="s">
        <v>69</v>
      </c>
      <c r="H453" s="20">
        <v>0.52500000000000002</v>
      </c>
      <c r="I453" s="20">
        <v>1.0347222222222223</v>
      </c>
      <c r="J453" s="22">
        <f t="shared" si="226"/>
        <v>0</v>
      </c>
      <c r="K453" s="47">
        <f>(J453/60)*VLOOKUP(C453,Employees!A:J,10,0)*1.5</f>
        <v>0</v>
      </c>
      <c r="L453" s="22">
        <f t="shared" si="227"/>
        <v>35.999999999999979</v>
      </c>
      <c r="M453" s="23">
        <f>(L453/60)*VLOOKUP(C453,Employees!A:J,10,0)*2</f>
        <v>48.888888888888857</v>
      </c>
      <c r="N453" s="24">
        <f t="shared" si="228"/>
        <v>230.00000000000014</v>
      </c>
      <c r="O453" s="25">
        <f>(N453/60)*VLOOKUP(C453,Employees!A:J,10,0)*1.5</f>
        <v>234.25925925925941</v>
      </c>
      <c r="P453" s="23">
        <f>IF(G453="غياب",VLOOKUP(C453,Employees!$A$3:$J$36,9,FALSE()),0)</f>
        <v>0</v>
      </c>
    </row>
    <row r="454" spans="1:16" ht="15" customHeight="1">
      <c r="A454" s="48" t="s">
        <v>67</v>
      </c>
      <c r="B454" s="49" t="s">
        <v>68</v>
      </c>
      <c r="C454" s="49" t="s">
        <v>34</v>
      </c>
      <c r="D454" s="49" t="str">
        <f>VLOOKUP(C454,Employees!A:J,2,0)</f>
        <v>احمد عزت</v>
      </c>
      <c r="E454" s="50">
        <v>0.5</v>
      </c>
      <c r="F454" s="50">
        <v>0.875</v>
      </c>
      <c r="G454" s="51" t="s">
        <v>130</v>
      </c>
      <c r="H454" s="50" t="s">
        <v>78</v>
      </c>
      <c r="I454" s="50" t="s">
        <v>78</v>
      </c>
      <c r="J454" s="22">
        <f t="shared" si="226"/>
        <v>0</v>
      </c>
      <c r="K454" s="47">
        <f>(J454/60)*VLOOKUP(C454,Employees!A:J,10,0)*1.5</f>
        <v>0</v>
      </c>
      <c r="L454" s="22">
        <f t="shared" si="227"/>
        <v>0</v>
      </c>
      <c r="M454" s="23">
        <f>(L454/60)*VLOOKUP(C454,Employees!A:J,10,0)*2</f>
        <v>0</v>
      </c>
      <c r="N454" s="24">
        <f t="shared" si="228"/>
        <v>0</v>
      </c>
      <c r="O454" s="25">
        <f>(N454/60)*VLOOKUP(C454,Employees!A:J,10,0)*1.5</f>
        <v>0</v>
      </c>
      <c r="P454" s="23">
        <f>IF(G454="غياب",VLOOKUP(C454,Employees!$A$3:$J$36,9,FALSE()),0)</f>
        <v>333.33333333333331</v>
      </c>
    </row>
    <row r="455" spans="1:16" ht="15" customHeight="1">
      <c r="A455" s="48" t="s">
        <v>70</v>
      </c>
      <c r="B455" s="49" t="s">
        <v>71</v>
      </c>
      <c r="C455" s="49" t="s">
        <v>34</v>
      </c>
      <c r="D455" s="49" t="str">
        <f>VLOOKUP(C455,Employees!A:J,2,0)</f>
        <v>احمد عزت</v>
      </c>
      <c r="E455" s="50">
        <v>0.5</v>
      </c>
      <c r="F455" s="50">
        <v>0.875</v>
      </c>
      <c r="G455" s="51" t="s">
        <v>130</v>
      </c>
      <c r="H455" s="50" t="s">
        <v>78</v>
      </c>
      <c r="I455" s="50" t="s">
        <v>78</v>
      </c>
      <c r="J455" s="22">
        <f t="shared" si="226"/>
        <v>0</v>
      </c>
      <c r="K455" s="47">
        <f>(J455/60)*VLOOKUP(C455,Employees!A:J,10,0)*1.5</f>
        <v>0</v>
      </c>
      <c r="L455" s="22">
        <f t="shared" si="227"/>
        <v>0</v>
      </c>
      <c r="M455" s="23">
        <f>(L455/60)*VLOOKUP(C455,Employees!A:J,10,0)*2</f>
        <v>0</v>
      </c>
      <c r="N455" s="24">
        <f t="shared" si="228"/>
        <v>0</v>
      </c>
      <c r="O455" s="25">
        <f>(N455/60)*VLOOKUP(C455,Employees!A:J,10,0)*1.5</f>
        <v>0</v>
      </c>
      <c r="P455" s="23">
        <f>IF(G455="غياب",VLOOKUP(C455,Employees!$A$3:$J$36,9,FALSE()),0)</f>
        <v>333.33333333333331</v>
      </c>
    </row>
    <row r="456" spans="1:16" ht="15" customHeight="1">
      <c r="A456" s="48" t="s">
        <v>72</v>
      </c>
      <c r="B456" s="49" t="s">
        <v>73</v>
      </c>
      <c r="C456" s="49" t="s">
        <v>34</v>
      </c>
      <c r="D456" s="49" t="str">
        <f>VLOOKUP(C456,Employees!A:J,2,0)</f>
        <v>احمد عزت</v>
      </c>
      <c r="E456" s="50">
        <v>0.5</v>
      </c>
      <c r="F456" s="50">
        <v>0.875</v>
      </c>
      <c r="G456" s="51" t="s">
        <v>130</v>
      </c>
      <c r="H456" s="50" t="s">
        <v>78</v>
      </c>
      <c r="I456" s="50" t="s">
        <v>78</v>
      </c>
      <c r="J456" s="22">
        <f t="shared" si="226"/>
        <v>0</v>
      </c>
      <c r="K456" s="47">
        <f>(J456/60)*VLOOKUP(C456,Employees!A:J,10,0)*1.5</f>
        <v>0</v>
      </c>
      <c r="L456" s="22">
        <f t="shared" si="227"/>
        <v>0</v>
      </c>
      <c r="M456" s="23">
        <f>(L456/60)*VLOOKUP(C456,Employees!A:J,10,0)*2</f>
        <v>0</v>
      </c>
      <c r="N456" s="24">
        <f t="shared" si="228"/>
        <v>0</v>
      </c>
      <c r="O456" s="25">
        <f>(N456/60)*VLOOKUP(C456,Employees!A:J,10,0)*1.5</f>
        <v>0</v>
      </c>
      <c r="P456" s="23">
        <f>IF(G456="غياب",VLOOKUP(C456,Employees!$A$3:$J$36,9,FALSE()),0)</f>
        <v>333.33333333333331</v>
      </c>
    </row>
    <row r="457" spans="1:16" ht="15" customHeight="1">
      <c r="A457" s="48" t="s">
        <v>74</v>
      </c>
      <c r="B457" s="49" t="s">
        <v>75</v>
      </c>
      <c r="C457" s="49" t="s">
        <v>34</v>
      </c>
      <c r="D457" s="49" t="str">
        <f>VLOOKUP(C457,Employees!A:J,2,0)</f>
        <v>احمد عزت</v>
      </c>
      <c r="E457" s="50">
        <v>0.5</v>
      </c>
      <c r="F457" s="50">
        <v>0.875</v>
      </c>
      <c r="G457" s="51" t="s">
        <v>130</v>
      </c>
      <c r="H457" s="50" t="s">
        <v>78</v>
      </c>
      <c r="I457" s="50" t="s">
        <v>78</v>
      </c>
      <c r="J457" s="22">
        <f t="shared" si="226"/>
        <v>0</v>
      </c>
      <c r="K457" s="47">
        <f>(J457/60)*VLOOKUP(C457,Employees!A:J,10,0)*1.5</f>
        <v>0</v>
      </c>
      <c r="L457" s="22">
        <f t="shared" si="227"/>
        <v>0</v>
      </c>
      <c r="M457" s="23">
        <f>(L457/60)*VLOOKUP(C457,Employees!A:J,10,0)*2</f>
        <v>0</v>
      </c>
      <c r="N457" s="24">
        <f t="shared" si="228"/>
        <v>0</v>
      </c>
      <c r="O457" s="25">
        <f>(N457/60)*VLOOKUP(C457,Employees!A:J,10,0)*1.5</f>
        <v>0</v>
      </c>
      <c r="P457" s="23">
        <f>IF(G457="غياب",VLOOKUP(C457,Employees!$A$3:$J$36,9,FALSE()),0)</f>
        <v>333.33333333333331</v>
      </c>
    </row>
    <row r="458" spans="1:16" ht="15" customHeight="1">
      <c r="A458" s="26" t="s">
        <v>76</v>
      </c>
      <c r="B458" s="28" t="s">
        <v>77</v>
      </c>
      <c r="C458" s="28" t="s">
        <v>34</v>
      </c>
      <c r="D458" s="28" t="str">
        <f>VLOOKUP(C458,Employees!A:J,2,0)</f>
        <v>احمد عزت</v>
      </c>
      <c r="E458" s="29" t="s">
        <v>78</v>
      </c>
      <c r="F458" s="29" t="s">
        <v>78</v>
      </c>
      <c r="G458" s="27" t="s">
        <v>79</v>
      </c>
      <c r="H458" s="29" t="s">
        <v>78</v>
      </c>
      <c r="I458" s="29" t="s">
        <v>78</v>
      </c>
      <c r="J458" s="22" t="s">
        <v>78</v>
      </c>
      <c r="K458" s="47" t="s">
        <v>78</v>
      </c>
      <c r="L458" s="22" t="s">
        <v>78</v>
      </c>
      <c r="M458" s="23" t="s">
        <v>78</v>
      </c>
      <c r="N458" s="24" t="s">
        <v>78</v>
      </c>
      <c r="O458" s="24" t="s">
        <v>78</v>
      </c>
      <c r="P458" s="23">
        <f>IF(G458="غياب",VLOOKUP(C458,Employees!$A$3:$J$36,9,FALSE()),0)</f>
        <v>0</v>
      </c>
    </row>
    <row r="459" spans="1:16" ht="15" customHeight="1">
      <c r="A459" s="48" t="s">
        <v>80</v>
      </c>
      <c r="B459" s="49" t="s">
        <v>81</v>
      </c>
      <c r="C459" s="49" t="s">
        <v>34</v>
      </c>
      <c r="D459" s="49" t="str">
        <f>VLOOKUP(C459,Employees!A:J,2,0)</f>
        <v>احمد عزت</v>
      </c>
      <c r="E459" s="50">
        <v>0.5</v>
      </c>
      <c r="F459" s="50">
        <v>0.875</v>
      </c>
      <c r="G459" s="51" t="s">
        <v>130</v>
      </c>
      <c r="H459" s="50" t="s">
        <v>78</v>
      </c>
      <c r="I459" s="50" t="s">
        <v>78</v>
      </c>
      <c r="J459" s="22">
        <f t="shared" ref="J459:J464" si="229">IF(OR(H459="",G459="غياب",G459="إجازة أسبوعية"),0,
IF(H459&gt;=E459-TIME(0,20,0),0,
IF(H459&gt;=E459-TIME(0,30,0),30,(E459-H459)*1440)))</f>
        <v>0</v>
      </c>
      <c r="K459" s="47">
        <f>(J459/60)*VLOOKUP(C459,Employees!A:J,10,0)*1.5</f>
        <v>0</v>
      </c>
      <c r="L459" s="22">
        <f t="shared" ref="L459:L464" si="230">IF(OR(H459="",G459="غياب",G459="إجازة أسبوعية"),0,
IF(H459&lt;=E459+TIME(0,30,0),0,
30+((H459-(E459+TIME(0,30,0)))*1440)))</f>
        <v>0</v>
      </c>
      <c r="M459" s="23">
        <f>(L459/60)*VLOOKUP(C459,Employees!A:J,10,0)*2</f>
        <v>0</v>
      </c>
      <c r="N459" s="24">
        <f t="shared" ref="N459:N464" si="231">IF(OR(I459="",G459="غياب",G459="إجازة أسبوعية",I459&lt;=F459),0,
IF(MOD(I459-F459,1)&lt;=TIME(0,25,0),0,MAX(0,(I459-F459)*1440)))</f>
        <v>0</v>
      </c>
      <c r="O459" s="25">
        <f>(N459/60)*VLOOKUP(C459,Employees!A:J,10,0)*1.5</f>
        <v>0</v>
      </c>
      <c r="P459" s="23">
        <f>IF(G459="غياب",VLOOKUP(C459,Employees!$A$3:$J$36,9,FALSE()),0)</f>
        <v>333.33333333333331</v>
      </c>
    </row>
    <row r="460" spans="1:16" ht="15" customHeight="1">
      <c r="A460" s="48" t="s">
        <v>82</v>
      </c>
      <c r="B460" s="49" t="s">
        <v>83</v>
      </c>
      <c r="C460" s="49" t="s">
        <v>34</v>
      </c>
      <c r="D460" s="49" t="str">
        <f>VLOOKUP(C460,Employees!A:J,2,0)</f>
        <v>احمد عزت</v>
      </c>
      <c r="E460" s="50">
        <v>0.5</v>
      </c>
      <c r="F460" s="50">
        <v>0.875</v>
      </c>
      <c r="G460" s="51" t="s">
        <v>130</v>
      </c>
      <c r="H460" s="50" t="s">
        <v>78</v>
      </c>
      <c r="I460" s="50" t="s">
        <v>78</v>
      </c>
      <c r="J460" s="22">
        <f t="shared" si="229"/>
        <v>0</v>
      </c>
      <c r="K460" s="47">
        <f>(J460/60)*VLOOKUP(C460,Employees!A:J,10,0)*1.5</f>
        <v>0</v>
      </c>
      <c r="L460" s="22">
        <f t="shared" si="230"/>
        <v>0</v>
      </c>
      <c r="M460" s="23">
        <f>(L460/60)*VLOOKUP(C460,Employees!A:J,10,0)*2</f>
        <v>0</v>
      </c>
      <c r="N460" s="24">
        <f t="shared" si="231"/>
        <v>0</v>
      </c>
      <c r="O460" s="25">
        <f>(N460/60)*VLOOKUP(C460,Employees!A:J,10,0)*1.5</f>
        <v>0</v>
      </c>
      <c r="P460" s="23">
        <f>IF(G460="غياب",VLOOKUP(C460,Employees!$A$3:$J$36,9,FALSE()),0)</f>
        <v>333.33333333333331</v>
      </c>
    </row>
    <row r="461" spans="1:16" ht="15" customHeight="1">
      <c r="A461" s="48" t="s">
        <v>84</v>
      </c>
      <c r="B461" s="49" t="s">
        <v>68</v>
      </c>
      <c r="C461" s="49" t="s">
        <v>34</v>
      </c>
      <c r="D461" s="49" t="str">
        <f>VLOOKUP(C461,Employees!A:J,2,0)</f>
        <v>احمد عزت</v>
      </c>
      <c r="E461" s="50">
        <v>0.5</v>
      </c>
      <c r="F461" s="50">
        <v>0.875</v>
      </c>
      <c r="G461" s="51" t="s">
        <v>130</v>
      </c>
      <c r="H461" s="50" t="s">
        <v>78</v>
      </c>
      <c r="I461" s="50" t="s">
        <v>78</v>
      </c>
      <c r="J461" s="22">
        <f t="shared" si="229"/>
        <v>0</v>
      </c>
      <c r="K461" s="47">
        <f>(J461/60)*VLOOKUP(C461,Employees!A:J,10,0)*1.5</f>
        <v>0</v>
      </c>
      <c r="L461" s="22">
        <f t="shared" si="230"/>
        <v>0</v>
      </c>
      <c r="M461" s="23">
        <f>(L461/60)*VLOOKUP(C461,Employees!A:J,10,0)*2</f>
        <v>0</v>
      </c>
      <c r="N461" s="24">
        <f t="shared" si="231"/>
        <v>0</v>
      </c>
      <c r="O461" s="25">
        <f>(N461/60)*VLOOKUP(C461,Employees!A:J,10,0)*1.5</f>
        <v>0</v>
      </c>
      <c r="P461" s="23">
        <f>IF(G461="غياب",VLOOKUP(C461,Employees!$A$3:$J$36,9,FALSE()),0)</f>
        <v>333.33333333333331</v>
      </c>
    </row>
    <row r="462" spans="1:16" ht="15" customHeight="1">
      <c r="A462" s="48" t="s">
        <v>85</v>
      </c>
      <c r="B462" s="49" t="s">
        <v>71</v>
      </c>
      <c r="C462" s="49" t="s">
        <v>34</v>
      </c>
      <c r="D462" s="49" t="str">
        <f>VLOOKUP(C462,Employees!A:J,2,0)</f>
        <v>احمد عزت</v>
      </c>
      <c r="E462" s="50">
        <v>0.5</v>
      </c>
      <c r="F462" s="50">
        <v>0.875</v>
      </c>
      <c r="G462" s="51" t="s">
        <v>130</v>
      </c>
      <c r="H462" s="50" t="s">
        <v>78</v>
      </c>
      <c r="I462" s="50" t="s">
        <v>78</v>
      </c>
      <c r="J462" s="22">
        <f t="shared" si="229"/>
        <v>0</v>
      </c>
      <c r="K462" s="47">
        <f>(J462/60)*VLOOKUP(C462,Employees!A:J,10,0)*1.5</f>
        <v>0</v>
      </c>
      <c r="L462" s="22">
        <f t="shared" si="230"/>
        <v>0</v>
      </c>
      <c r="M462" s="23">
        <f>(L462/60)*VLOOKUP(C462,Employees!A:J,10,0)*2</f>
        <v>0</v>
      </c>
      <c r="N462" s="24">
        <f t="shared" si="231"/>
        <v>0</v>
      </c>
      <c r="O462" s="25">
        <f>(N462/60)*VLOOKUP(C462,Employees!A:J,10,0)*1.5</f>
        <v>0</v>
      </c>
      <c r="P462" s="23">
        <f>IF(G462="غياب",VLOOKUP(C462,Employees!$A$3:$J$36,9,FALSE()),0)</f>
        <v>333.33333333333331</v>
      </c>
    </row>
    <row r="463" spans="1:16" ht="15" customHeight="1">
      <c r="A463" s="48" t="s">
        <v>86</v>
      </c>
      <c r="B463" s="49" t="s">
        <v>73</v>
      </c>
      <c r="C463" s="49" t="s">
        <v>34</v>
      </c>
      <c r="D463" s="49" t="str">
        <f>VLOOKUP(C463,Employees!A:J,2,0)</f>
        <v>احمد عزت</v>
      </c>
      <c r="E463" s="50">
        <v>0.5</v>
      </c>
      <c r="F463" s="50">
        <v>0.875</v>
      </c>
      <c r="G463" s="51" t="s">
        <v>130</v>
      </c>
      <c r="H463" s="50" t="s">
        <v>78</v>
      </c>
      <c r="I463" s="50" t="s">
        <v>78</v>
      </c>
      <c r="J463" s="22">
        <f t="shared" si="229"/>
        <v>0</v>
      </c>
      <c r="K463" s="47">
        <f>(J463/60)*VLOOKUP(C463,Employees!A:J,10,0)*1.5</f>
        <v>0</v>
      </c>
      <c r="L463" s="22">
        <f t="shared" si="230"/>
        <v>0</v>
      </c>
      <c r="M463" s="23">
        <f>(L463/60)*VLOOKUP(C463,Employees!A:J,10,0)*2</f>
        <v>0</v>
      </c>
      <c r="N463" s="24">
        <f t="shared" si="231"/>
        <v>0</v>
      </c>
      <c r="O463" s="25">
        <f>(N463/60)*VLOOKUP(C463,Employees!A:J,10,0)*1.5</f>
        <v>0</v>
      </c>
      <c r="P463" s="23">
        <f>IF(G463="غياب",VLOOKUP(C463,Employees!$A$3:$J$36,9,FALSE()),0)</f>
        <v>333.33333333333331</v>
      </c>
    </row>
    <row r="464" spans="1:16" ht="15" customHeight="1">
      <c r="A464" s="48" t="s">
        <v>87</v>
      </c>
      <c r="B464" s="49" t="s">
        <v>75</v>
      </c>
      <c r="C464" s="49" t="s">
        <v>34</v>
      </c>
      <c r="D464" s="49" t="str">
        <f>VLOOKUP(C464,Employees!A:J,2,0)</f>
        <v>احمد عزت</v>
      </c>
      <c r="E464" s="50">
        <v>0.5</v>
      </c>
      <c r="F464" s="50">
        <v>0.875</v>
      </c>
      <c r="G464" s="51" t="s">
        <v>130</v>
      </c>
      <c r="H464" s="50" t="s">
        <v>78</v>
      </c>
      <c r="I464" s="50" t="s">
        <v>78</v>
      </c>
      <c r="J464" s="22">
        <f t="shared" si="229"/>
        <v>0</v>
      </c>
      <c r="K464" s="47">
        <f>(J464/60)*VLOOKUP(C464,Employees!A:J,10,0)*1.5</f>
        <v>0</v>
      </c>
      <c r="L464" s="22">
        <f t="shared" si="230"/>
        <v>0</v>
      </c>
      <c r="M464" s="23">
        <f>(L464/60)*VLOOKUP(C464,Employees!A:J,10,0)*2</f>
        <v>0</v>
      </c>
      <c r="N464" s="24">
        <f t="shared" si="231"/>
        <v>0</v>
      </c>
      <c r="O464" s="25">
        <f>(N464/60)*VLOOKUP(C464,Employees!A:J,10,0)*1.5</f>
        <v>0</v>
      </c>
      <c r="P464" s="23">
        <f>IF(G464="غياب",VLOOKUP(C464,Employees!$A$3:$J$36,9,FALSE()),0)</f>
        <v>333.33333333333331</v>
      </c>
    </row>
    <row r="465" spans="1:16" ht="15" customHeight="1">
      <c r="A465" s="26" t="s">
        <v>88</v>
      </c>
      <c r="B465" s="28" t="s">
        <v>77</v>
      </c>
      <c r="C465" s="28" t="s">
        <v>34</v>
      </c>
      <c r="D465" s="28" t="str">
        <f>VLOOKUP(C465,Employees!A:J,2,0)</f>
        <v>احمد عزت</v>
      </c>
      <c r="E465" s="29" t="s">
        <v>78</v>
      </c>
      <c r="F465" s="29" t="s">
        <v>78</v>
      </c>
      <c r="G465" s="27" t="s">
        <v>79</v>
      </c>
      <c r="H465" s="29" t="s">
        <v>78</v>
      </c>
      <c r="I465" s="29" t="s">
        <v>78</v>
      </c>
      <c r="J465" s="22" t="s">
        <v>78</v>
      </c>
      <c r="K465" s="47" t="s">
        <v>78</v>
      </c>
      <c r="L465" s="22" t="s">
        <v>78</v>
      </c>
      <c r="M465" s="23" t="s">
        <v>78</v>
      </c>
      <c r="N465" s="24" t="s">
        <v>78</v>
      </c>
      <c r="O465" s="24" t="s">
        <v>78</v>
      </c>
      <c r="P465" s="23">
        <f>IF(G465="غياب",VLOOKUP(C465,Employees!$A$3:$J$36,9,FALSE()),0)</f>
        <v>0</v>
      </c>
    </row>
    <row r="466" spans="1:16" ht="15" customHeight="1">
      <c r="A466" s="26" t="s">
        <v>89</v>
      </c>
      <c r="B466" s="28" t="s">
        <v>81</v>
      </c>
      <c r="C466" s="28" t="s">
        <v>34</v>
      </c>
      <c r="D466" s="28" t="str">
        <f>VLOOKUP(C466,Employees!A:J,2,0)</f>
        <v>احمد عزت</v>
      </c>
      <c r="E466" s="29" t="s">
        <v>78</v>
      </c>
      <c r="F466" s="29" t="s">
        <v>78</v>
      </c>
      <c r="G466" s="27" t="s">
        <v>79</v>
      </c>
      <c r="H466" s="29" t="s">
        <v>78</v>
      </c>
      <c r="I466" s="29" t="s">
        <v>78</v>
      </c>
      <c r="J466" s="22" t="s">
        <v>78</v>
      </c>
      <c r="K466" s="47" t="s">
        <v>78</v>
      </c>
      <c r="L466" s="22" t="s">
        <v>78</v>
      </c>
      <c r="M466" s="23" t="s">
        <v>78</v>
      </c>
      <c r="N466" s="24" t="s">
        <v>78</v>
      </c>
      <c r="O466" s="24" t="s">
        <v>78</v>
      </c>
      <c r="P466" s="23">
        <f>IF(G466="غياب",VLOOKUP(C466,Employees!$A$3:$J$36,9,FALSE()),0)</f>
        <v>0</v>
      </c>
    </row>
    <row r="467" spans="1:16" ht="15" customHeight="1">
      <c r="A467" s="48" t="s">
        <v>90</v>
      </c>
      <c r="B467" s="49" t="s">
        <v>83</v>
      </c>
      <c r="C467" s="49" t="s">
        <v>34</v>
      </c>
      <c r="D467" s="49" t="str">
        <f>VLOOKUP(C467,Employees!A:J,2,0)</f>
        <v>احمد عزت</v>
      </c>
      <c r="E467" s="50">
        <v>0.5</v>
      </c>
      <c r="F467" s="50">
        <v>0.875</v>
      </c>
      <c r="G467" s="51" t="s">
        <v>130</v>
      </c>
      <c r="H467" s="50" t="s">
        <v>78</v>
      </c>
      <c r="I467" s="50" t="s">
        <v>78</v>
      </c>
      <c r="J467" s="22">
        <f t="shared" ref="J467:J471" si="232">IF(OR(H467="",G467="غياب",G467="إجازة أسبوعية"),0,
IF(H467&gt;=E467-TIME(0,20,0),0,
IF(H467&gt;=E467-TIME(0,30,0),30,(E467-H467)*1440)))</f>
        <v>0</v>
      </c>
      <c r="K467" s="47">
        <f>(J467/60)*VLOOKUP(C467,Employees!A:J,10,0)*1.5</f>
        <v>0</v>
      </c>
      <c r="L467" s="22">
        <f t="shared" ref="L467:L471" si="233">IF(OR(H467="",G467="غياب",G467="إجازة أسبوعية"),0,
IF(H467&lt;=E467+TIME(0,30,0),0,
30+((H467-(E467+TIME(0,30,0)))*1440)))</f>
        <v>0</v>
      </c>
      <c r="M467" s="23">
        <f>(L467/60)*VLOOKUP(C467,Employees!A:J,10,0)*2</f>
        <v>0</v>
      </c>
      <c r="N467" s="24">
        <f t="shared" ref="N467:N471" si="234">IF(OR(I467="",G467="غياب",G467="إجازة أسبوعية",I467&lt;=F467),0,
IF(MOD(I467-F467,1)&lt;=TIME(0,25,0),0,MAX(0,(I467-F467)*1440)))</f>
        <v>0</v>
      </c>
      <c r="O467" s="25">
        <f>(N467/60)*VLOOKUP(C467,Employees!A:J,10,0)*1.5</f>
        <v>0</v>
      </c>
      <c r="P467" s="23">
        <f>IF(G467="غياب",VLOOKUP(C467,Employees!$A$3:$J$36,9,FALSE()),0)</f>
        <v>333.33333333333331</v>
      </c>
    </row>
    <row r="468" spans="1:16" ht="15" customHeight="1">
      <c r="A468" s="48" t="s">
        <v>91</v>
      </c>
      <c r="B468" s="49" t="s">
        <v>68</v>
      </c>
      <c r="C468" s="49" t="s">
        <v>34</v>
      </c>
      <c r="D468" s="49" t="str">
        <f>VLOOKUP(C468,Employees!A:J,2,0)</f>
        <v>احمد عزت</v>
      </c>
      <c r="E468" s="50">
        <v>0.5</v>
      </c>
      <c r="F468" s="50">
        <v>0.875</v>
      </c>
      <c r="G468" s="51" t="s">
        <v>130</v>
      </c>
      <c r="H468" s="50" t="s">
        <v>78</v>
      </c>
      <c r="I468" s="50" t="s">
        <v>78</v>
      </c>
      <c r="J468" s="22">
        <f t="shared" si="232"/>
        <v>0</v>
      </c>
      <c r="K468" s="47">
        <f>(J468/60)*VLOOKUP(C468,Employees!A:J,10,0)*1.5</f>
        <v>0</v>
      </c>
      <c r="L468" s="22">
        <f t="shared" si="233"/>
        <v>0</v>
      </c>
      <c r="M468" s="23">
        <f>(L468/60)*VLOOKUP(C468,Employees!A:J,10,0)*2</f>
        <v>0</v>
      </c>
      <c r="N468" s="24">
        <f t="shared" si="234"/>
        <v>0</v>
      </c>
      <c r="O468" s="25">
        <f>(N468/60)*VLOOKUP(C468,Employees!A:J,10,0)*1.5</f>
        <v>0</v>
      </c>
      <c r="P468" s="23">
        <f>IF(G468="غياب",VLOOKUP(C468,Employees!$A$3:$J$36,9,FALSE()),0)</f>
        <v>333.33333333333331</v>
      </c>
    </row>
    <row r="469" spans="1:16" ht="15" customHeight="1">
      <c r="A469" s="17" t="s">
        <v>92</v>
      </c>
      <c r="B469" s="19" t="s">
        <v>71</v>
      </c>
      <c r="C469" s="19" t="s">
        <v>34</v>
      </c>
      <c r="D469" s="19" t="str">
        <f>VLOOKUP(C469,Employees!A:J,2,0)</f>
        <v>احمد عزت</v>
      </c>
      <c r="E469" s="20">
        <v>0.5</v>
      </c>
      <c r="F469" s="20">
        <v>0.875</v>
      </c>
      <c r="G469" s="21" t="s">
        <v>69</v>
      </c>
      <c r="H469" s="20">
        <f>E469</f>
        <v>0.5</v>
      </c>
      <c r="I469" s="20">
        <f>F469</f>
        <v>0.875</v>
      </c>
      <c r="J469" s="22">
        <f t="shared" si="232"/>
        <v>0</v>
      </c>
      <c r="K469" s="47">
        <f>(J469/60)*VLOOKUP(C469,Employees!A:J,10,0)*1.5</f>
        <v>0</v>
      </c>
      <c r="L469" s="22">
        <f t="shared" si="233"/>
        <v>0</v>
      </c>
      <c r="M469" s="23">
        <f>(L469/60)*VLOOKUP(C469,Employees!A:J,10,0)*2</f>
        <v>0</v>
      </c>
      <c r="N469" s="24">
        <f t="shared" si="234"/>
        <v>0</v>
      </c>
      <c r="O469" s="25">
        <f>(N469/60)*VLOOKUP(C469,Employees!A:J,10,0)*1.5</f>
        <v>0</v>
      </c>
      <c r="P469" s="23">
        <f>IF(G469="غياب",VLOOKUP(C469,Employees!$A$3:$J$36,9,FALSE()),0)</f>
        <v>0</v>
      </c>
    </row>
    <row r="470" spans="1:16" ht="15" customHeight="1">
      <c r="A470" s="17" t="s">
        <v>93</v>
      </c>
      <c r="B470" s="19" t="s">
        <v>73</v>
      </c>
      <c r="C470" s="19" t="s">
        <v>34</v>
      </c>
      <c r="D470" s="19" t="str">
        <f>VLOOKUP(C470,Employees!A:J,2,0)</f>
        <v>احمد عزت</v>
      </c>
      <c r="E470" s="20">
        <v>0.5</v>
      </c>
      <c r="F470" s="20">
        <v>0.875</v>
      </c>
      <c r="G470" s="21" t="s">
        <v>69</v>
      </c>
      <c r="H470" s="20">
        <f t="shared" ref="H470:H471" si="235">E470</f>
        <v>0.5</v>
      </c>
      <c r="I470" s="20">
        <f t="shared" ref="I470:I471" si="236">F470</f>
        <v>0.875</v>
      </c>
      <c r="J470" s="22">
        <f t="shared" si="232"/>
        <v>0</v>
      </c>
      <c r="K470" s="47">
        <f>(J470/60)*VLOOKUP(C470,Employees!A:J,10,0)*1.5</f>
        <v>0</v>
      </c>
      <c r="L470" s="22">
        <f t="shared" si="233"/>
        <v>0</v>
      </c>
      <c r="M470" s="23">
        <f>(L470/60)*VLOOKUP(C470,Employees!A:J,10,0)*2</f>
        <v>0</v>
      </c>
      <c r="N470" s="24">
        <f t="shared" si="234"/>
        <v>0</v>
      </c>
      <c r="O470" s="25">
        <f>(N470/60)*VLOOKUP(C470,Employees!A:J,10,0)*1.5</f>
        <v>0</v>
      </c>
      <c r="P470" s="23">
        <f>IF(G470="غياب",VLOOKUP(C470,Employees!$A$3:$J$36,9,FALSE()),0)</f>
        <v>0</v>
      </c>
    </row>
    <row r="471" spans="1:16" ht="15" customHeight="1">
      <c r="A471" s="17" t="s">
        <v>94</v>
      </c>
      <c r="B471" s="19" t="s">
        <v>75</v>
      </c>
      <c r="C471" s="19" t="s">
        <v>34</v>
      </c>
      <c r="D471" s="19" t="str">
        <f>VLOOKUP(C471,Employees!A:J,2,0)</f>
        <v>احمد عزت</v>
      </c>
      <c r="E471" s="20">
        <v>0.5</v>
      </c>
      <c r="F471" s="20">
        <v>0.875</v>
      </c>
      <c r="G471" s="21" t="s">
        <v>69</v>
      </c>
      <c r="H471" s="20">
        <f t="shared" si="235"/>
        <v>0.5</v>
      </c>
      <c r="I471" s="20">
        <f t="shared" si="236"/>
        <v>0.875</v>
      </c>
      <c r="J471" s="22">
        <f t="shared" si="232"/>
        <v>0</v>
      </c>
      <c r="K471" s="47">
        <f>(J471/60)*VLOOKUP(C471,Employees!A:J,10,0)*1.5</f>
        <v>0</v>
      </c>
      <c r="L471" s="22">
        <f t="shared" si="233"/>
        <v>0</v>
      </c>
      <c r="M471" s="23">
        <f>(L471/60)*VLOOKUP(C471,Employees!A:J,10,0)*2</f>
        <v>0</v>
      </c>
      <c r="N471" s="24">
        <f t="shared" si="234"/>
        <v>0</v>
      </c>
      <c r="O471" s="25">
        <f>(N471/60)*VLOOKUP(C471,Employees!A:J,10,0)*1.5</f>
        <v>0</v>
      </c>
      <c r="P471" s="23">
        <f>IF(G471="غياب",VLOOKUP(C471,Employees!$A$3:$J$36,9,FALSE()),0)</f>
        <v>0</v>
      </c>
    </row>
    <row r="472" spans="1:16" ht="15" customHeight="1">
      <c r="A472" s="26" t="s">
        <v>95</v>
      </c>
      <c r="B472" s="28" t="s">
        <v>77</v>
      </c>
      <c r="C472" s="28" t="s">
        <v>34</v>
      </c>
      <c r="D472" s="28" t="str">
        <f>VLOOKUP(C472,Employees!A:J,2,0)</f>
        <v>احمد عزت</v>
      </c>
      <c r="E472" s="29" t="s">
        <v>78</v>
      </c>
      <c r="F472" s="29" t="s">
        <v>78</v>
      </c>
      <c r="G472" s="27" t="s">
        <v>79</v>
      </c>
      <c r="H472" s="29" t="s">
        <v>78</v>
      </c>
      <c r="I472" s="29" t="s">
        <v>78</v>
      </c>
      <c r="J472" s="22" t="s">
        <v>78</v>
      </c>
      <c r="K472" s="47" t="s">
        <v>78</v>
      </c>
      <c r="L472" s="22" t="s">
        <v>78</v>
      </c>
      <c r="M472" s="23" t="s">
        <v>78</v>
      </c>
      <c r="N472" s="24" t="s">
        <v>78</v>
      </c>
      <c r="O472" s="24" t="s">
        <v>78</v>
      </c>
      <c r="P472" s="23">
        <f>IF(G472="غياب",VLOOKUP(C472,Employees!$A$3:$J$36,9,FALSE()),0)</f>
        <v>0</v>
      </c>
    </row>
    <row r="473" spans="1:16" ht="15" customHeight="1">
      <c r="A473" s="17" t="s">
        <v>96</v>
      </c>
      <c r="B473" s="19" t="s">
        <v>81</v>
      </c>
      <c r="C473" s="19" t="s">
        <v>34</v>
      </c>
      <c r="D473" s="19" t="str">
        <f>VLOOKUP(C473,Employees!A:J,2,0)</f>
        <v>احمد عزت</v>
      </c>
      <c r="E473" s="20">
        <v>0.5</v>
      </c>
      <c r="F473" s="20">
        <v>0.875</v>
      </c>
      <c r="G473" s="21" t="s">
        <v>69</v>
      </c>
      <c r="H473" s="20">
        <f t="shared" ref="H473:H478" si="237">E473</f>
        <v>0.5</v>
      </c>
      <c r="I473" s="20">
        <f t="shared" ref="I473:I478" si="238">F473</f>
        <v>0.875</v>
      </c>
      <c r="J473" s="22">
        <f t="shared" ref="J473:J478" si="239">IF(OR(H473="",G473="غياب",G473="إجازة أسبوعية"),0,
IF(H473&gt;=E473-TIME(0,20,0),0,
IF(H473&gt;=E473-TIME(0,30,0),30,(E473-H473)*1440)))</f>
        <v>0</v>
      </c>
      <c r="K473" s="47">
        <f>(J473/60)*VLOOKUP(C473,Employees!A:J,10,0)*1.5</f>
        <v>0</v>
      </c>
      <c r="L473" s="22">
        <f t="shared" ref="L473:L478" si="240">IF(OR(H473="",G473="غياب",G473="إجازة أسبوعية"),0,
IF(H473&lt;=E473+TIME(0,30,0),0,
30+((H473-(E473+TIME(0,30,0)))*1440)))</f>
        <v>0</v>
      </c>
      <c r="M473" s="23">
        <f>(L473/60)*VLOOKUP(C473,Employees!A:J,10,0)*2</f>
        <v>0</v>
      </c>
      <c r="N473" s="24">
        <f t="shared" ref="N473:N478" si="241">IF(OR(I473="",G473="غياب",G473="إجازة أسبوعية",I473&lt;=F473),0,
IF(MOD(I473-F473,1)&lt;=TIME(0,25,0),0,MAX(0,(I473-F473)*1440)))</f>
        <v>0</v>
      </c>
      <c r="O473" s="25">
        <f>(N473/60)*VLOOKUP(C473,Employees!A:J,10,0)*1.5</f>
        <v>0</v>
      </c>
      <c r="P473" s="23">
        <f>IF(G473="غياب",VLOOKUP(C473,Employees!$A$3:$J$36,9,FALSE()),0)</f>
        <v>0</v>
      </c>
    </row>
    <row r="474" spans="1:16" ht="15" customHeight="1">
      <c r="A474" s="17" t="s">
        <v>97</v>
      </c>
      <c r="B474" s="19" t="s">
        <v>83</v>
      </c>
      <c r="C474" s="19" t="s">
        <v>34</v>
      </c>
      <c r="D474" s="19" t="str">
        <f>VLOOKUP(C474,Employees!A:J,2,0)</f>
        <v>احمد عزت</v>
      </c>
      <c r="E474" s="20">
        <v>0.5</v>
      </c>
      <c r="F474" s="20">
        <v>0.875</v>
      </c>
      <c r="G474" s="21" t="s">
        <v>69</v>
      </c>
      <c r="H474" s="20">
        <f t="shared" si="237"/>
        <v>0.5</v>
      </c>
      <c r="I474" s="20">
        <f t="shared" si="238"/>
        <v>0.875</v>
      </c>
      <c r="J474" s="22">
        <f t="shared" si="239"/>
        <v>0</v>
      </c>
      <c r="K474" s="47">
        <f>(J474/60)*VLOOKUP(C474,Employees!A:J,10,0)*1.5</f>
        <v>0</v>
      </c>
      <c r="L474" s="22">
        <f t="shared" si="240"/>
        <v>0</v>
      </c>
      <c r="M474" s="23">
        <f>(L474/60)*VLOOKUP(C474,Employees!A:J,10,0)*2</f>
        <v>0</v>
      </c>
      <c r="N474" s="24">
        <f t="shared" si="241"/>
        <v>0</v>
      </c>
      <c r="O474" s="25">
        <f>(N474/60)*VLOOKUP(C474,Employees!A:J,10,0)*1.5</f>
        <v>0</v>
      </c>
      <c r="P474" s="23">
        <f>IF(G474="غياب",VLOOKUP(C474,Employees!$A$3:$J$36,9,FALSE()),0)</f>
        <v>0</v>
      </c>
    </row>
    <row r="475" spans="1:16" ht="15" customHeight="1">
      <c r="A475" s="17" t="s">
        <v>98</v>
      </c>
      <c r="B475" s="19" t="s">
        <v>68</v>
      </c>
      <c r="C475" s="19" t="s">
        <v>34</v>
      </c>
      <c r="D475" s="19" t="str">
        <f>VLOOKUP(C475,Employees!A:J,2,0)</f>
        <v>احمد عزت</v>
      </c>
      <c r="E475" s="20">
        <v>0.5</v>
      </c>
      <c r="F475" s="20">
        <v>0.875</v>
      </c>
      <c r="G475" s="21" t="s">
        <v>69</v>
      </c>
      <c r="H475" s="20">
        <f t="shared" si="237"/>
        <v>0.5</v>
      </c>
      <c r="I475" s="20">
        <f t="shared" si="238"/>
        <v>0.875</v>
      </c>
      <c r="J475" s="22">
        <f t="shared" si="239"/>
        <v>0</v>
      </c>
      <c r="K475" s="47">
        <f>(J475/60)*VLOOKUP(C475,Employees!A:J,10,0)*1.5</f>
        <v>0</v>
      </c>
      <c r="L475" s="22">
        <f t="shared" si="240"/>
        <v>0</v>
      </c>
      <c r="M475" s="23">
        <f>(L475/60)*VLOOKUP(C475,Employees!A:J,10,0)*2</f>
        <v>0</v>
      </c>
      <c r="N475" s="24">
        <f t="shared" si="241"/>
        <v>0</v>
      </c>
      <c r="O475" s="25">
        <f>(N475/60)*VLOOKUP(C475,Employees!A:J,10,0)*1.5</f>
        <v>0</v>
      </c>
      <c r="P475" s="23">
        <f>IF(G475="غياب",VLOOKUP(C475,Employees!$A$3:$J$36,9,FALSE()),0)</f>
        <v>0</v>
      </c>
    </row>
    <row r="476" spans="1:16" ht="15" customHeight="1">
      <c r="A476" s="17" t="s">
        <v>99</v>
      </c>
      <c r="B476" s="19" t="s">
        <v>71</v>
      </c>
      <c r="C476" s="19" t="s">
        <v>34</v>
      </c>
      <c r="D476" s="19" t="str">
        <f>VLOOKUP(C476,Employees!A:J,2,0)</f>
        <v>احمد عزت</v>
      </c>
      <c r="E476" s="20">
        <v>0.5</v>
      </c>
      <c r="F476" s="20">
        <v>0.875</v>
      </c>
      <c r="G476" s="21" t="s">
        <v>69</v>
      </c>
      <c r="H476" s="20">
        <f t="shared" si="237"/>
        <v>0.5</v>
      </c>
      <c r="I476" s="20">
        <f t="shared" si="238"/>
        <v>0.875</v>
      </c>
      <c r="J476" s="22">
        <f t="shared" si="239"/>
        <v>0</v>
      </c>
      <c r="K476" s="47">
        <f>(J476/60)*VLOOKUP(C476,Employees!A:J,10,0)*1.5</f>
        <v>0</v>
      </c>
      <c r="L476" s="22">
        <f t="shared" si="240"/>
        <v>0</v>
      </c>
      <c r="M476" s="23">
        <f>(L476/60)*VLOOKUP(C476,Employees!A:J,10,0)*2</f>
        <v>0</v>
      </c>
      <c r="N476" s="24">
        <f t="shared" si="241"/>
        <v>0</v>
      </c>
      <c r="O476" s="25">
        <f>(N476/60)*VLOOKUP(C476,Employees!A:J,10,0)*1.5</f>
        <v>0</v>
      </c>
      <c r="P476" s="23">
        <f>IF(G476="غياب",VLOOKUP(C476,Employees!$A$3:$J$36,9,FALSE()),0)</f>
        <v>0</v>
      </c>
    </row>
    <row r="477" spans="1:16" ht="15" customHeight="1">
      <c r="A477" s="17" t="s">
        <v>100</v>
      </c>
      <c r="B477" s="19" t="s">
        <v>73</v>
      </c>
      <c r="C477" s="19" t="s">
        <v>34</v>
      </c>
      <c r="D477" s="19" t="str">
        <f>VLOOKUP(C477,Employees!A:J,2,0)</f>
        <v>احمد عزت</v>
      </c>
      <c r="E477" s="20">
        <v>0.5</v>
      </c>
      <c r="F477" s="20">
        <v>0.875</v>
      </c>
      <c r="G477" s="21" t="s">
        <v>69</v>
      </c>
      <c r="H477" s="20">
        <f t="shared" si="237"/>
        <v>0.5</v>
      </c>
      <c r="I477" s="20">
        <f t="shared" si="238"/>
        <v>0.875</v>
      </c>
      <c r="J477" s="22">
        <f t="shared" si="239"/>
        <v>0</v>
      </c>
      <c r="K477" s="47">
        <f>(J477/60)*VLOOKUP(C477,Employees!A:J,10,0)*1.5</f>
        <v>0</v>
      </c>
      <c r="L477" s="22">
        <f t="shared" si="240"/>
        <v>0</v>
      </c>
      <c r="M477" s="23">
        <f>(L477/60)*VLOOKUP(C477,Employees!A:J,10,0)*2</f>
        <v>0</v>
      </c>
      <c r="N477" s="24">
        <f t="shared" si="241"/>
        <v>0</v>
      </c>
      <c r="O477" s="25">
        <f>(N477/60)*VLOOKUP(C477,Employees!A:J,10,0)*1.5</f>
        <v>0</v>
      </c>
      <c r="P477" s="23">
        <f>IF(G477="غياب",VLOOKUP(C477,Employees!$A$3:$J$36,9,FALSE()),0)</f>
        <v>0</v>
      </c>
    </row>
    <row r="478" spans="1:16" ht="15" customHeight="1">
      <c r="A478" s="17" t="s">
        <v>101</v>
      </c>
      <c r="B478" s="19" t="s">
        <v>75</v>
      </c>
      <c r="C478" s="19" t="s">
        <v>34</v>
      </c>
      <c r="D478" s="19" t="str">
        <f>VLOOKUP(C478,Employees!A:J,2,0)</f>
        <v>احمد عزت</v>
      </c>
      <c r="E478" s="20">
        <v>0.5</v>
      </c>
      <c r="F478" s="20">
        <v>0.875</v>
      </c>
      <c r="G478" s="21" t="s">
        <v>69</v>
      </c>
      <c r="H478" s="20">
        <f t="shared" si="237"/>
        <v>0.5</v>
      </c>
      <c r="I478" s="20">
        <f t="shared" si="238"/>
        <v>0.875</v>
      </c>
      <c r="J478" s="22">
        <f t="shared" si="239"/>
        <v>0</v>
      </c>
      <c r="K478" s="47">
        <f>(J478/60)*VLOOKUP(C478,Employees!A:J,10,0)*1.5</f>
        <v>0</v>
      </c>
      <c r="L478" s="22">
        <f t="shared" si="240"/>
        <v>0</v>
      </c>
      <c r="M478" s="23">
        <f>(L478/60)*VLOOKUP(C478,Employees!A:J,10,0)*2</f>
        <v>0</v>
      </c>
      <c r="N478" s="24">
        <f t="shared" si="241"/>
        <v>0</v>
      </c>
      <c r="O478" s="25">
        <f>(N478/60)*VLOOKUP(C478,Employees!A:J,10,0)*1.5</f>
        <v>0</v>
      </c>
      <c r="P478" s="23">
        <f>IF(G478="غياب",VLOOKUP(C478,Employees!$A$3:$J$36,9,FALSE()),0)</f>
        <v>0</v>
      </c>
    </row>
    <row r="479" spans="1:16" ht="15" customHeight="1">
      <c r="A479" s="26" t="s">
        <v>102</v>
      </c>
      <c r="B479" s="28" t="s">
        <v>77</v>
      </c>
      <c r="C479" s="28" t="s">
        <v>34</v>
      </c>
      <c r="D479" s="28" t="str">
        <f>VLOOKUP(C479,Employees!A:J,2,0)</f>
        <v>احمد عزت</v>
      </c>
      <c r="E479" s="29" t="s">
        <v>78</v>
      </c>
      <c r="F479" s="29" t="s">
        <v>78</v>
      </c>
      <c r="G479" s="27" t="s">
        <v>79</v>
      </c>
      <c r="H479" s="29" t="s">
        <v>78</v>
      </c>
      <c r="I479" s="29" t="s">
        <v>78</v>
      </c>
      <c r="J479" s="22" t="s">
        <v>78</v>
      </c>
      <c r="K479" s="47" t="s">
        <v>78</v>
      </c>
      <c r="L479" s="22" t="s">
        <v>78</v>
      </c>
      <c r="M479" s="23" t="s">
        <v>78</v>
      </c>
      <c r="N479" s="24" t="s">
        <v>78</v>
      </c>
      <c r="O479" s="24" t="s">
        <v>78</v>
      </c>
      <c r="P479" s="23">
        <f>IF(G479="غياب",VLOOKUP(C479,Employees!$A$3:$J$36,9,FALSE()),0)</f>
        <v>0</v>
      </c>
    </row>
    <row r="480" spans="1:16" ht="15" customHeight="1">
      <c r="A480" s="17" t="s">
        <v>103</v>
      </c>
      <c r="B480" s="19" t="s">
        <v>81</v>
      </c>
      <c r="C480" s="19" t="s">
        <v>34</v>
      </c>
      <c r="D480" s="19" t="str">
        <f>VLOOKUP(C480,Employees!A:J,2,0)</f>
        <v>احمد عزت</v>
      </c>
      <c r="E480" s="20">
        <v>0.5</v>
      </c>
      <c r="F480" s="20">
        <v>0.875</v>
      </c>
      <c r="G480" s="21" t="s">
        <v>69</v>
      </c>
      <c r="H480" s="20">
        <f t="shared" ref="H480:H483" si="242">E480</f>
        <v>0.5</v>
      </c>
      <c r="I480" s="20">
        <f t="shared" ref="I480:I483" si="243">F480</f>
        <v>0.875</v>
      </c>
      <c r="J480" s="22">
        <f t="shared" ref="J480:J487" si="244">IF(OR(H480="",G480="غياب",G480="إجازة أسبوعية"),0,
IF(H480&gt;=E480-TIME(0,20,0),0,
IF(H480&gt;=E480-TIME(0,30,0),30,(E480-H480)*1440)))</f>
        <v>0</v>
      </c>
      <c r="K480" s="47">
        <f>(J480/60)*VLOOKUP(C480,Employees!A:J,10,0)*1.5</f>
        <v>0</v>
      </c>
      <c r="L480" s="22">
        <f t="shared" ref="L480:L487" si="245">IF(OR(H480="",G480="غياب",G480="إجازة أسبوعية"),0,
IF(H480&lt;=E480+TIME(0,30,0),0,
30+((H480-(E480+TIME(0,30,0)))*1440)))</f>
        <v>0</v>
      </c>
      <c r="M480" s="23">
        <f>(L480/60)*VLOOKUP(C480,Employees!A:J,10,0)*2</f>
        <v>0</v>
      </c>
      <c r="N480" s="24">
        <f t="shared" ref="N480:N487" si="246">IF(OR(I480="",G480="غياب",G480="إجازة أسبوعية",I480&lt;=F480),0,
IF(MOD(I480-F480,1)&lt;=TIME(0,25,0),0,MAX(0,(I480-F480)*1440)))</f>
        <v>0</v>
      </c>
      <c r="O480" s="25">
        <f>(N480/60)*VLOOKUP(C480,Employees!A:J,10,0)*1.5</f>
        <v>0</v>
      </c>
      <c r="P480" s="23">
        <f>IF(G480="غياب",VLOOKUP(C480,Employees!$A$3:$J$36,9,FALSE()),0)</f>
        <v>0</v>
      </c>
    </row>
    <row r="481" spans="1:16" ht="15" customHeight="1">
      <c r="A481" s="17" t="s">
        <v>104</v>
      </c>
      <c r="B481" s="19" t="s">
        <v>83</v>
      </c>
      <c r="C481" s="19" t="s">
        <v>34</v>
      </c>
      <c r="D481" s="19" t="str">
        <f>VLOOKUP(C481,Employees!A:J,2,0)</f>
        <v>احمد عزت</v>
      </c>
      <c r="E481" s="20">
        <v>0.5</v>
      </c>
      <c r="F481" s="20">
        <v>0.875</v>
      </c>
      <c r="G481" s="21" t="s">
        <v>69</v>
      </c>
      <c r="H481" s="20">
        <f t="shared" si="242"/>
        <v>0.5</v>
      </c>
      <c r="I481" s="20">
        <f t="shared" si="243"/>
        <v>0.875</v>
      </c>
      <c r="J481" s="22">
        <f t="shared" si="244"/>
        <v>0</v>
      </c>
      <c r="K481" s="47">
        <f>(J481/60)*VLOOKUP(C481,Employees!A:J,10,0)*1.5</f>
        <v>0</v>
      </c>
      <c r="L481" s="22">
        <f t="shared" si="245"/>
        <v>0</v>
      </c>
      <c r="M481" s="23">
        <f>(L481/60)*VLOOKUP(C481,Employees!A:J,10,0)*2</f>
        <v>0</v>
      </c>
      <c r="N481" s="24">
        <f t="shared" si="246"/>
        <v>0</v>
      </c>
      <c r="O481" s="25">
        <f>(N481/60)*VLOOKUP(C481,Employees!A:J,10,0)*1.5</f>
        <v>0</v>
      </c>
      <c r="P481" s="23">
        <f>IF(G481="غياب",VLOOKUP(C481,Employees!$A$3:$J$36,9,FALSE()),0)</f>
        <v>0</v>
      </c>
    </row>
    <row r="482" spans="1:16" ht="15" customHeight="1">
      <c r="A482" s="17" t="s">
        <v>105</v>
      </c>
      <c r="B482" s="19" t="s">
        <v>68</v>
      </c>
      <c r="C482" s="19" t="s">
        <v>34</v>
      </c>
      <c r="D482" s="19" t="str">
        <f>VLOOKUP(C482,Employees!A:J,2,0)</f>
        <v>احمد عزت</v>
      </c>
      <c r="E482" s="20">
        <v>0.5</v>
      </c>
      <c r="F482" s="20">
        <v>0.875</v>
      </c>
      <c r="G482" s="21" t="s">
        <v>69</v>
      </c>
      <c r="H482" s="20">
        <f t="shared" si="242"/>
        <v>0.5</v>
      </c>
      <c r="I482" s="20">
        <f t="shared" si="243"/>
        <v>0.875</v>
      </c>
      <c r="J482" s="22">
        <f t="shared" si="244"/>
        <v>0</v>
      </c>
      <c r="K482" s="47">
        <f>(J482/60)*VLOOKUP(C482,Employees!A:J,10,0)*1.5</f>
        <v>0</v>
      </c>
      <c r="L482" s="22">
        <f t="shared" si="245"/>
        <v>0</v>
      </c>
      <c r="M482" s="23">
        <f>(L482/60)*VLOOKUP(C482,Employees!A:J,10,0)*2</f>
        <v>0</v>
      </c>
      <c r="N482" s="24">
        <f t="shared" si="246"/>
        <v>0</v>
      </c>
      <c r="O482" s="25">
        <f>(N482/60)*VLOOKUP(C482,Employees!A:J,10,0)*1.5</f>
        <v>0</v>
      </c>
      <c r="P482" s="23">
        <f>IF(G482="غياب",VLOOKUP(C482,Employees!$A$3:$J$36,9,FALSE()),0)</f>
        <v>0</v>
      </c>
    </row>
    <row r="483" spans="1:16" ht="15" customHeight="1">
      <c r="A483" s="17" t="s">
        <v>106</v>
      </c>
      <c r="B483" s="19" t="s">
        <v>71</v>
      </c>
      <c r="C483" s="19" t="s">
        <v>34</v>
      </c>
      <c r="D483" s="19" t="str">
        <f>VLOOKUP(C483,Employees!A:J,2,0)</f>
        <v>احمد عزت</v>
      </c>
      <c r="E483" s="20">
        <v>0.5</v>
      </c>
      <c r="F483" s="20">
        <v>0.875</v>
      </c>
      <c r="G483" s="21" t="s">
        <v>69</v>
      </c>
      <c r="H483" s="20">
        <f t="shared" si="242"/>
        <v>0.5</v>
      </c>
      <c r="I483" s="20">
        <f t="shared" si="243"/>
        <v>0.875</v>
      </c>
      <c r="J483" s="22">
        <f t="shared" si="244"/>
        <v>0</v>
      </c>
      <c r="K483" s="47">
        <f>(J483/60)*VLOOKUP(C483,Employees!A:J,10,0)*1.5</f>
        <v>0</v>
      </c>
      <c r="L483" s="22">
        <f t="shared" si="245"/>
        <v>0</v>
      </c>
      <c r="M483" s="23">
        <f>(L483/60)*VLOOKUP(C483,Employees!A:J,10,0)*2</f>
        <v>0</v>
      </c>
      <c r="N483" s="24">
        <f t="shared" si="246"/>
        <v>0</v>
      </c>
      <c r="O483" s="25">
        <f>(N483/60)*VLOOKUP(C483,Employees!A:J,10,0)*1.5</f>
        <v>0</v>
      </c>
      <c r="P483" s="23">
        <f>IF(G483="غياب",VLOOKUP(C483,Employees!$A$3:$J$36,9,FALSE()),0)</f>
        <v>0</v>
      </c>
    </row>
    <row r="484" spans="1:16" ht="15" customHeight="1">
      <c r="A484" s="17" t="s">
        <v>67</v>
      </c>
      <c r="B484" s="19" t="s">
        <v>68</v>
      </c>
      <c r="C484" s="19" t="s">
        <v>36</v>
      </c>
      <c r="D484" s="19" t="str">
        <f>VLOOKUP(C484,Employees!A:J,2,0)</f>
        <v>احمد جمعه</v>
      </c>
      <c r="E484" s="20">
        <v>0.375</v>
      </c>
      <c r="F484" s="20">
        <v>0.875</v>
      </c>
      <c r="G484" s="21" t="s">
        <v>69</v>
      </c>
      <c r="H484" s="20">
        <v>0.375</v>
      </c>
      <c r="I484" s="20">
        <v>0.85902777777777772</v>
      </c>
      <c r="J484" s="22">
        <f t="shared" si="244"/>
        <v>0</v>
      </c>
      <c r="K484" s="47">
        <f>(J484/60)*VLOOKUP(C484,Employees!A:J,10,0)*1.5</f>
        <v>0</v>
      </c>
      <c r="L484" s="22">
        <f t="shared" si="245"/>
        <v>0</v>
      </c>
      <c r="M484" s="23">
        <f>(L484/60)*VLOOKUP(C484,Employees!A:J,10,0)*2</f>
        <v>0</v>
      </c>
      <c r="N484" s="24">
        <f t="shared" si="246"/>
        <v>0</v>
      </c>
      <c r="O484" s="25">
        <f>(N484/60)*VLOOKUP(C484,Employees!A:J,10,0)</f>
        <v>0</v>
      </c>
      <c r="P484" s="23">
        <f>IF(G484="غياب",VLOOKUP(C484,Employees!$A$3:$J$36,9,FALSE()),0)</f>
        <v>0</v>
      </c>
    </row>
    <row r="485" spans="1:16" ht="15" customHeight="1">
      <c r="A485" s="17" t="s">
        <v>70</v>
      </c>
      <c r="B485" s="19" t="s">
        <v>71</v>
      </c>
      <c r="C485" s="19" t="s">
        <v>36</v>
      </c>
      <c r="D485" s="19" t="str">
        <f>VLOOKUP(C485,Employees!A:J,2,0)</f>
        <v>احمد جمعه</v>
      </c>
      <c r="E485" s="20">
        <v>0.375</v>
      </c>
      <c r="F485" s="20">
        <v>0.875</v>
      </c>
      <c r="G485" s="21" t="s">
        <v>69</v>
      </c>
      <c r="H485" s="20">
        <f t="shared" ref="H485:H487" si="247">E485</f>
        <v>0.375</v>
      </c>
      <c r="I485" s="20">
        <v>0.86458333333333337</v>
      </c>
      <c r="J485" s="22">
        <f t="shared" si="244"/>
        <v>0</v>
      </c>
      <c r="K485" s="47">
        <f>(J485/60)*VLOOKUP(C485,Employees!A:J,10,0)*1.5</f>
        <v>0</v>
      </c>
      <c r="L485" s="22">
        <f t="shared" si="245"/>
        <v>0</v>
      </c>
      <c r="M485" s="23">
        <f>(L485/60)*VLOOKUP(C485,Employees!A:J,10,0)*2</f>
        <v>0</v>
      </c>
      <c r="N485" s="24">
        <f t="shared" si="246"/>
        <v>0</v>
      </c>
      <c r="O485" s="25">
        <f>(N485/60)*VLOOKUP(C485,Employees!A:J,10,0)</f>
        <v>0</v>
      </c>
      <c r="P485" s="23">
        <f>IF(G485="غياب",VLOOKUP(C485,Employees!$A$3:$J$36,9,FALSE()),0)</f>
        <v>0</v>
      </c>
    </row>
    <row r="486" spans="1:16" ht="15" customHeight="1">
      <c r="A486" s="17" t="s">
        <v>72</v>
      </c>
      <c r="B486" s="19" t="s">
        <v>73</v>
      </c>
      <c r="C486" s="19" t="s">
        <v>36</v>
      </c>
      <c r="D486" s="19" t="str">
        <f>VLOOKUP(C486,Employees!A:J,2,0)</f>
        <v>احمد جمعه</v>
      </c>
      <c r="E486" s="20">
        <v>0.375</v>
      </c>
      <c r="F486" s="20">
        <v>0.875</v>
      </c>
      <c r="G486" s="21" t="s">
        <v>69</v>
      </c>
      <c r="H486" s="20">
        <f t="shared" si="247"/>
        <v>0.375</v>
      </c>
      <c r="I486" s="20">
        <v>0.88888888888888884</v>
      </c>
      <c r="J486" s="22">
        <f t="shared" si="244"/>
        <v>0</v>
      </c>
      <c r="K486" s="47">
        <f>(J486/60)*VLOOKUP(C486,Employees!A:J,10,0)*1.5</f>
        <v>0</v>
      </c>
      <c r="L486" s="22">
        <f t="shared" si="245"/>
        <v>0</v>
      </c>
      <c r="M486" s="23">
        <f>(L486/60)*VLOOKUP(C486,Employees!A:J,10,0)*2</f>
        <v>0</v>
      </c>
      <c r="N486" s="24">
        <f t="shared" si="246"/>
        <v>0</v>
      </c>
      <c r="O486" s="25">
        <f>(N486/60)*VLOOKUP(C486,Employees!A:J,10,0)</f>
        <v>0</v>
      </c>
      <c r="P486" s="23">
        <f>IF(G486="غياب",VLOOKUP(C486,Employees!$A$3:$J$36,9,FALSE()),0)</f>
        <v>0</v>
      </c>
    </row>
    <row r="487" spans="1:16" ht="15" customHeight="1">
      <c r="A487" s="17" t="s">
        <v>74</v>
      </c>
      <c r="B487" s="19" t="s">
        <v>75</v>
      </c>
      <c r="C487" s="19" t="s">
        <v>36</v>
      </c>
      <c r="D487" s="19" t="str">
        <f>VLOOKUP(C487,Employees!A:J,2,0)</f>
        <v>احمد جمعه</v>
      </c>
      <c r="E487" s="20">
        <v>0.375</v>
      </c>
      <c r="F487" s="20">
        <v>0.875</v>
      </c>
      <c r="G487" s="21" t="s">
        <v>69</v>
      </c>
      <c r="H487" s="20">
        <f t="shared" si="247"/>
        <v>0.375</v>
      </c>
      <c r="I487" s="20">
        <v>0.85972222222222228</v>
      </c>
      <c r="J487" s="22">
        <f t="shared" si="244"/>
        <v>0</v>
      </c>
      <c r="K487" s="47">
        <f>(J487/60)*VLOOKUP(C487,Employees!A:J,10,0)*1.5</f>
        <v>0</v>
      </c>
      <c r="L487" s="22">
        <f t="shared" si="245"/>
        <v>0</v>
      </c>
      <c r="M487" s="23">
        <f>(L487/60)*VLOOKUP(C487,Employees!A:J,10,0)*2</f>
        <v>0</v>
      </c>
      <c r="N487" s="24">
        <f t="shared" si="246"/>
        <v>0</v>
      </c>
      <c r="O487" s="25">
        <f>(N487/60)*VLOOKUP(C487,Employees!A:J,10,0)</f>
        <v>0</v>
      </c>
      <c r="P487" s="23">
        <f>IF(G487="غياب",VLOOKUP(C487,Employees!$A$3:$J$36,9,FALSE()),0)</f>
        <v>0</v>
      </c>
    </row>
    <row r="488" spans="1:16" ht="15" customHeight="1">
      <c r="A488" s="26" t="s">
        <v>76</v>
      </c>
      <c r="B488" s="28" t="s">
        <v>77</v>
      </c>
      <c r="C488" s="28" t="s">
        <v>36</v>
      </c>
      <c r="D488" s="28" t="str">
        <f>VLOOKUP(C488,Employees!A:J,2,0)</f>
        <v>احمد جمعه</v>
      </c>
      <c r="E488" s="29" t="s">
        <v>78</v>
      </c>
      <c r="F488" s="29" t="s">
        <v>78</v>
      </c>
      <c r="G488" s="27" t="s">
        <v>79</v>
      </c>
      <c r="H488" s="29" t="s">
        <v>78</v>
      </c>
      <c r="I488" s="29" t="s">
        <v>78</v>
      </c>
      <c r="J488" s="22" t="s">
        <v>78</v>
      </c>
      <c r="K488" s="47" t="s">
        <v>78</v>
      </c>
      <c r="L488" s="22" t="s">
        <v>78</v>
      </c>
      <c r="M488" s="23" t="s">
        <v>78</v>
      </c>
      <c r="N488" s="24" t="s">
        <v>78</v>
      </c>
      <c r="O488" s="24" t="s">
        <v>78</v>
      </c>
      <c r="P488" s="23">
        <f>IF(G488="غياب",VLOOKUP(C488,Employees!$A$3:$J$36,9,FALSE()),0)</f>
        <v>0</v>
      </c>
    </row>
    <row r="489" spans="1:16" ht="15" customHeight="1">
      <c r="A489" s="17" t="s">
        <v>80</v>
      </c>
      <c r="B489" s="19" t="s">
        <v>81</v>
      </c>
      <c r="C489" s="19" t="s">
        <v>36</v>
      </c>
      <c r="D489" s="19" t="str">
        <f>VLOOKUP(C489,Employees!A:J,2,0)</f>
        <v>احمد جمعه</v>
      </c>
      <c r="E489" s="20">
        <v>0.375</v>
      </c>
      <c r="F489" s="20">
        <v>0.875</v>
      </c>
      <c r="G489" s="21" t="s">
        <v>69</v>
      </c>
      <c r="H489" s="20">
        <f t="shared" ref="H489:H494" si="248">E489</f>
        <v>0.375</v>
      </c>
      <c r="I489" s="20">
        <v>0.86736111111111114</v>
      </c>
      <c r="J489" s="22">
        <f t="shared" ref="J489:J494" si="249">IF(OR(H489="",G489="غياب",G489="إجازة أسبوعية"),0,
IF(H489&gt;=E489-TIME(0,20,0),0,
IF(H489&gt;=E489-TIME(0,30,0),30,(E489-H489)*1440)))</f>
        <v>0</v>
      </c>
      <c r="K489" s="47">
        <f>(J489/60)*VLOOKUP(C489,Employees!A:J,10,0)*1.5</f>
        <v>0</v>
      </c>
      <c r="L489" s="22">
        <f t="shared" ref="L489:L494" si="250">IF(OR(H489="",G489="غياب",G489="إجازة أسبوعية"),0,
IF(H489&lt;=E489+TIME(0,30,0),0,
30+((H489-(E489+TIME(0,30,0)))*1440)))</f>
        <v>0</v>
      </c>
      <c r="M489" s="23">
        <f>(L489/60)*VLOOKUP(C489,Employees!A:J,10,0)*2</f>
        <v>0</v>
      </c>
      <c r="N489" s="24">
        <f t="shared" ref="N489:N494" si="251">IF(OR(I489="",G489="غياب",G489="إجازة أسبوعية",I489&lt;=F489),0,
IF(MOD(I489-F489,1)&lt;=TIME(0,25,0),0,MAX(0,(I489-F489)*1440)))</f>
        <v>0</v>
      </c>
      <c r="O489" s="25">
        <f>(N489/60)*VLOOKUP(C489,Employees!A:J,10,0)</f>
        <v>0</v>
      </c>
      <c r="P489" s="23">
        <f>IF(G489="غياب",VLOOKUP(C489,Employees!$A$3:$J$36,9,FALSE()),0)</f>
        <v>0</v>
      </c>
    </row>
    <row r="490" spans="1:16" ht="15" customHeight="1">
      <c r="A490" s="17" t="s">
        <v>82</v>
      </c>
      <c r="B490" s="19" t="s">
        <v>83</v>
      </c>
      <c r="C490" s="19" t="s">
        <v>36</v>
      </c>
      <c r="D490" s="19" t="str">
        <f>VLOOKUP(C490,Employees!A:J,2,0)</f>
        <v>احمد جمعه</v>
      </c>
      <c r="E490" s="20">
        <v>0.375</v>
      </c>
      <c r="F490" s="20">
        <v>0.875</v>
      </c>
      <c r="G490" s="21" t="s">
        <v>69</v>
      </c>
      <c r="H490" s="20">
        <f t="shared" si="248"/>
        <v>0.375</v>
      </c>
      <c r="I490" s="20">
        <v>0.87013888888888891</v>
      </c>
      <c r="J490" s="22">
        <f t="shared" si="249"/>
        <v>0</v>
      </c>
      <c r="K490" s="47">
        <f>(J490/60)*VLOOKUP(C490,Employees!A:J,10,0)*1.5</f>
        <v>0</v>
      </c>
      <c r="L490" s="22">
        <f t="shared" si="250"/>
        <v>0</v>
      </c>
      <c r="M490" s="23">
        <f>(L490/60)*VLOOKUP(C490,Employees!A:J,10,0)*2</f>
        <v>0</v>
      </c>
      <c r="N490" s="24">
        <f t="shared" si="251"/>
        <v>0</v>
      </c>
      <c r="O490" s="25">
        <f>(N490/60)*VLOOKUP(C490,Employees!A:J,10,0)</f>
        <v>0</v>
      </c>
      <c r="P490" s="23">
        <f>IF(G490="غياب",VLOOKUP(C490,Employees!$A$3:$J$36,9,FALSE()),0)</f>
        <v>0</v>
      </c>
    </row>
    <row r="491" spans="1:16" ht="15" customHeight="1">
      <c r="A491" s="17" t="s">
        <v>84</v>
      </c>
      <c r="B491" s="19" t="s">
        <v>68</v>
      </c>
      <c r="C491" s="19" t="s">
        <v>36</v>
      </c>
      <c r="D491" s="19" t="str">
        <f>VLOOKUP(C491,Employees!A:J,2,0)</f>
        <v>احمد جمعه</v>
      </c>
      <c r="E491" s="20">
        <v>0.375</v>
      </c>
      <c r="F491" s="20">
        <v>0.875</v>
      </c>
      <c r="G491" s="21" t="s">
        <v>69</v>
      </c>
      <c r="H491" s="20">
        <f t="shared" si="248"/>
        <v>0.375</v>
      </c>
      <c r="I491" s="20">
        <v>0.97222222222222221</v>
      </c>
      <c r="J491" s="22">
        <f t="shared" si="249"/>
        <v>0</v>
      </c>
      <c r="K491" s="47">
        <f>(J491/60)*VLOOKUP(C491,Employees!A:J,10,0)*1.5</f>
        <v>0</v>
      </c>
      <c r="L491" s="22">
        <f t="shared" si="250"/>
        <v>0</v>
      </c>
      <c r="M491" s="23">
        <f>(L491/60)*VLOOKUP(C491,Employees!A:J,10,0)*2</f>
        <v>0</v>
      </c>
      <c r="N491" s="24">
        <f t="shared" si="251"/>
        <v>139.99999999999997</v>
      </c>
      <c r="O491" s="25">
        <f>(N491/60)*VLOOKUP(C491,Employees!A:J,10,0)</f>
        <v>64.814814814814795</v>
      </c>
      <c r="P491" s="23">
        <f>IF(G491="غياب",VLOOKUP(C491,Employees!$A$3:$J$36,9,FALSE()),0)</f>
        <v>0</v>
      </c>
    </row>
    <row r="492" spans="1:16" ht="15" customHeight="1">
      <c r="A492" s="17" t="s">
        <v>85</v>
      </c>
      <c r="B492" s="19" t="s">
        <v>71</v>
      </c>
      <c r="C492" s="19" t="s">
        <v>36</v>
      </c>
      <c r="D492" s="19" t="str">
        <f>VLOOKUP(C492,Employees!A:J,2,0)</f>
        <v>احمد جمعه</v>
      </c>
      <c r="E492" s="20">
        <v>0.375</v>
      </c>
      <c r="F492" s="20">
        <v>0.875</v>
      </c>
      <c r="G492" s="21" t="s">
        <v>69</v>
      </c>
      <c r="H492" s="20">
        <f t="shared" si="248"/>
        <v>0.375</v>
      </c>
      <c r="I492" s="20">
        <v>0.91041666666666665</v>
      </c>
      <c r="J492" s="22">
        <f t="shared" si="249"/>
        <v>0</v>
      </c>
      <c r="K492" s="47">
        <f>(J492/60)*VLOOKUP(C492,Employees!A:J,10,0)*1.5</f>
        <v>0</v>
      </c>
      <c r="L492" s="22">
        <f t="shared" si="250"/>
        <v>0</v>
      </c>
      <c r="M492" s="23">
        <f>(L492/60)*VLOOKUP(C492,Employees!A:J,10,0)*2</f>
        <v>0</v>
      </c>
      <c r="N492" s="24">
        <f t="shared" si="251"/>
        <v>50.999999999999979</v>
      </c>
      <c r="O492" s="25">
        <f>(N492/60)*VLOOKUP(C492,Employees!A:J,10,0)</f>
        <v>23.6111111111111</v>
      </c>
      <c r="P492" s="23">
        <f>IF(G492="غياب",VLOOKUP(C492,Employees!$A$3:$J$36,9,FALSE()),0)</f>
        <v>0</v>
      </c>
    </row>
    <row r="493" spans="1:16" ht="15" customHeight="1">
      <c r="A493" s="17" t="s">
        <v>86</v>
      </c>
      <c r="B493" s="19" t="s">
        <v>73</v>
      </c>
      <c r="C493" s="19" t="s">
        <v>36</v>
      </c>
      <c r="D493" s="19" t="str">
        <f>VLOOKUP(C493,Employees!A:J,2,0)</f>
        <v>احمد جمعه</v>
      </c>
      <c r="E493" s="20">
        <v>0.375</v>
      </c>
      <c r="F493" s="20">
        <v>0.875</v>
      </c>
      <c r="G493" s="21" t="s">
        <v>69</v>
      </c>
      <c r="H493" s="20">
        <f t="shared" si="248"/>
        <v>0.375</v>
      </c>
      <c r="I493" s="20">
        <v>0.91111111111111109</v>
      </c>
      <c r="J493" s="22">
        <f t="shared" si="249"/>
        <v>0</v>
      </c>
      <c r="K493" s="47">
        <f>(J493/60)*VLOOKUP(C493,Employees!A:J,10,0)*1.5</f>
        <v>0</v>
      </c>
      <c r="L493" s="22">
        <f t="shared" si="250"/>
        <v>0</v>
      </c>
      <c r="M493" s="23">
        <f>(L493/60)*VLOOKUP(C493,Employees!A:J,10,0)*2</f>
        <v>0</v>
      </c>
      <c r="N493" s="24">
        <f t="shared" si="251"/>
        <v>51.999999999999972</v>
      </c>
      <c r="O493" s="25">
        <f>(N493/60)*VLOOKUP(C493,Employees!A:J,10,0)</f>
        <v>24.074074074074058</v>
      </c>
      <c r="P493" s="23">
        <f>IF(G493="غياب",VLOOKUP(C493,Employees!$A$3:$J$36,9,FALSE()),0)</f>
        <v>0</v>
      </c>
    </row>
    <row r="494" spans="1:16" ht="15" customHeight="1">
      <c r="A494" s="17" t="s">
        <v>87</v>
      </c>
      <c r="B494" s="19" t="s">
        <v>75</v>
      </c>
      <c r="C494" s="19" t="s">
        <v>36</v>
      </c>
      <c r="D494" s="19" t="str">
        <f>VLOOKUP(C494,Employees!A:J,2,0)</f>
        <v>احمد جمعه</v>
      </c>
      <c r="E494" s="20">
        <v>0.41666666666666702</v>
      </c>
      <c r="F494" s="20">
        <v>0.91666666666666696</v>
      </c>
      <c r="G494" s="21" t="s">
        <v>69</v>
      </c>
      <c r="H494" s="20">
        <f t="shared" si="248"/>
        <v>0.41666666666666702</v>
      </c>
      <c r="I494" s="20">
        <v>0.91597222222222219</v>
      </c>
      <c r="J494" s="22">
        <f t="shared" si="249"/>
        <v>0</v>
      </c>
      <c r="K494" s="47">
        <f>(J494/60)*VLOOKUP(C494,Employees!A:J,10,0)*1.5</f>
        <v>0</v>
      </c>
      <c r="L494" s="22">
        <f t="shared" si="250"/>
        <v>0</v>
      </c>
      <c r="M494" s="23">
        <f>(L494/60)*VLOOKUP(C494,Employees!A:J,10,0)*2</f>
        <v>0</v>
      </c>
      <c r="N494" s="24">
        <f t="shared" si="251"/>
        <v>0</v>
      </c>
      <c r="O494" s="25">
        <f>(N494/60)*VLOOKUP(C494,Employees!A:J,10,0)</f>
        <v>0</v>
      </c>
      <c r="P494" s="23">
        <f>IF(G494="غياب",VLOOKUP(C494,Employees!$A$3:$J$36,9,FALSE()),0)</f>
        <v>0</v>
      </c>
    </row>
    <row r="495" spans="1:16" ht="15" customHeight="1">
      <c r="A495" s="26" t="s">
        <v>88</v>
      </c>
      <c r="B495" s="28" t="s">
        <v>77</v>
      </c>
      <c r="C495" s="28" t="s">
        <v>36</v>
      </c>
      <c r="D495" s="28" t="str">
        <f>VLOOKUP(C495,Employees!A:J,2,0)</f>
        <v>احمد جمعه</v>
      </c>
      <c r="E495" s="29" t="s">
        <v>78</v>
      </c>
      <c r="F495" s="29" t="s">
        <v>78</v>
      </c>
      <c r="G495" s="27" t="s">
        <v>79</v>
      </c>
      <c r="H495" s="29" t="s">
        <v>78</v>
      </c>
      <c r="I495" s="29" t="s">
        <v>78</v>
      </c>
      <c r="J495" s="22" t="s">
        <v>78</v>
      </c>
      <c r="K495" s="47" t="s">
        <v>78</v>
      </c>
      <c r="L495" s="22" t="s">
        <v>78</v>
      </c>
      <c r="M495" s="23" t="s">
        <v>78</v>
      </c>
      <c r="N495" s="24" t="s">
        <v>78</v>
      </c>
      <c r="O495" s="24" t="s">
        <v>78</v>
      </c>
      <c r="P495" s="23">
        <f>IF(G495="غياب",VLOOKUP(C495,Employees!$A$3:$J$36,9,FALSE()),0)</f>
        <v>0</v>
      </c>
    </row>
    <row r="496" spans="1:16" ht="15" customHeight="1">
      <c r="A496" s="26" t="s">
        <v>89</v>
      </c>
      <c r="B496" s="28" t="s">
        <v>81</v>
      </c>
      <c r="C496" s="28" t="s">
        <v>36</v>
      </c>
      <c r="D496" s="28" t="str">
        <f>VLOOKUP(C496,Employees!A:J,2,0)</f>
        <v>احمد جمعه</v>
      </c>
      <c r="E496" s="29" t="s">
        <v>78</v>
      </c>
      <c r="F496" s="29" t="s">
        <v>78</v>
      </c>
      <c r="G496" s="27" t="s">
        <v>79</v>
      </c>
      <c r="H496" s="29" t="s">
        <v>78</v>
      </c>
      <c r="I496" s="29" t="s">
        <v>78</v>
      </c>
      <c r="J496" s="22" t="s">
        <v>78</v>
      </c>
      <c r="K496" s="47" t="s">
        <v>78</v>
      </c>
      <c r="L496" s="22" t="s">
        <v>78</v>
      </c>
      <c r="M496" s="23" t="s">
        <v>78</v>
      </c>
      <c r="N496" s="24" t="s">
        <v>78</v>
      </c>
      <c r="O496" s="24" t="s">
        <v>78</v>
      </c>
      <c r="P496" s="23">
        <f>IF(G496="غياب",VLOOKUP(C496,Employees!$A$3:$J$36,9,FALSE()),0)</f>
        <v>0</v>
      </c>
    </row>
    <row r="497" spans="1:16" ht="15" customHeight="1">
      <c r="A497" s="17" t="s">
        <v>90</v>
      </c>
      <c r="B497" s="19" t="s">
        <v>83</v>
      </c>
      <c r="C497" s="19" t="s">
        <v>36</v>
      </c>
      <c r="D497" s="19" t="str">
        <f>VLOOKUP(C497,Employees!A:J,2,0)</f>
        <v>احمد جمعه</v>
      </c>
      <c r="E497" s="20">
        <v>0.41666666666666702</v>
      </c>
      <c r="F497" s="20">
        <v>0.91666666666666696</v>
      </c>
      <c r="G497" s="21" t="s">
        <v>69</v>
      </c>
      <c r="H497" s="20">
        <f t="shared" ref="H497:H501" si="252">E497</f>
        <v>0.41666666666666702</v>
      </c>
      <c r="I497" s="20">
        <v>0.93333333333333335</v>
      </c>
      <c r="J497" s="22">
        <f t="shared" ref="J497:J501" si="253">IF(OR(H497="",G497="غياب",G497="إجازة أسبوعية"),0,
IF(H497&gt;=E497-TIME(0,20,0),0,
IF(H497&gt;=E497-TIME(0,30,0),30,(E497-H497)*1440)))</f>
        <v>0</v>
      </c>
      <c r="K497" s="47">
        <f>(J497/60)*VLOOKUP(C497,Employees!A:J,10,0)*1.5</f>
        <v>0</v>
      </c>
      <c r="L497" s="22">
        <f t="shared" ref="L497:L501" si="254">IF(OR(H497="",G497="غياب",G497="إجازة أسبوعية"),0,
IF(H497&lt;=E497+TIME(0,30,0),0,
30+((H497-(E497+TIME(0,30,0)))*1440)))</f>
        <v>0</v>
      </c>
      <c r="M497" s="23">
        <f>(L497/60)*VLOOKUP(C497,Employees!A:J,10,0)*2</f>
        <v>0</v>
      </c>
      <c r="N497" s="24">
        <f t="shared" ref="N497:N501" si="255">IF(OR(I497="",G497="غياب",G497="إجازة أسبوعية",I497&lt;=F497),0,
IF(MOD(I497-F497,1)&lt;=TIME(0,25,0),0,MAX(0,(I497-F497)*1440)))</f>
        <v>0</v>
      </c>
      <c r="O497" s="25">
        <f>(N497/60)*VLOOKUP(C497,Employees!A:J,10,0)</f>
        <v>0</v>
      </c>
      <c r="P497" s="23">
        <f>IF(G497="غياب",VLOOKUP(C497,Employees!$A$3:$J$36,9,FALSE()),0)</f>
        <v>0</v>
      </c>
    </row>
    <row r="498" spans="1:16" ht="15" customHeight="1">
      <c r="A498" s="17" t="s">
        <v>91</v>
      </c>
      <c r="B498" s="19" t="s">
        <v>68</v>
      </c>
      <c r="C498" s="19" t="s">
        <v>36</v>
      </c>
      <c r="D498" s="19" t="str">
        <f>VLOOKUP(C498,Employees!A:J,2,0)</f>
        <v>احمد جمعه</v>
      </c>
      <c r="E498" s="20">
        <v>0.41666666666666702</v>
      </c>
      <c r="F498" s="20">
        <v>0.91666666666666696</v>
      </c>
      <c r="G498" s="21" t="s">
        <v>69</v>
      </c>
      <c r="H498" s="20">
        <f t="shared" si="252"/>
        <v>0.41666666666666702</v>
      </c>
      <c r="I498" s="20">
        <v>0.9145833333333333</v>
      </c>
      <c r="J498" s="22">
        <f t="shared" si="253"/>
        <v>0</v>
      </c>
      <c r="K498" s="47">
        <f>(J498/60)*VLOOKUP(C498,Employees!A:J,10,0)*1.5</f>
        <v>0</v>
      </c>
      <c r="L498" s="22">
        <f t="shared" si="254"/>
        <v>0</v>
      </c>
      <c r="M498" s="23">
        <f>(L498/60)*VLOOKUP(C498,Employees!A:J,10,0)*2</f>
        <v>0</v>
      </c>
      <c r="N498" s="24">
        <f t="shared" si="255"/>
        <v>0</v>
      </c>
      <c r="O498" s="25">
        <f>(N498/60)*VLOOKUP(C498,Employees!A:J,10,0)</f>
        <v>0</v>
      </c>
      <c r="P498" s="23">
        <f>IF(G498="غياب",VLOOKUP(C498,Employees!$A$3:$J$36,9,FALSE()),0)</f>
        <v>0</v>
      </c>
    </row>
    <row r="499" spans="1:16" ht="15" customHeight="1">
      <c r="A499" s="17" t="s">
        <v>92</v>
      </c>
      <c r="B499" s="19" t="s">
        <v>71</v>
      </c>
      <c r="C499" s="19" t="s">
        <v>36</v>
      </c>
      <c r="D499" s="19" t="str">
        <f>VLOOKUP(C499,Employees!A:J,2,0)</f>
        <v>احمد جمعه</v>
      </c>
      <c r="E499" s="20">
        <v>0.41666666666666702</v>
      </c>
      <c r="F499" s="20">
        <v>0.91666666666666696</v>
      </c>
      <c r="G499" s="21" t="s">
        <v>69</v>
      </c>
      <c r="H499" s="20">
        <f t="shared" si="252"/>
        <v>0.41666666666666702</v>
      </c>
      <c r="I499" s="20">
        <v>0.93541666666666667</v>
      </c>
      <c r="J499" s="22">
        <f t="shared" si="253"/>
        <v>0</v>
      </c>
      <c r="K499" s="47">
        <f>(J499/60)*VLOOKUP(C499,Employees!A:J,10,0)*1.5</f>
        <v>0</v>
      </c>
      <c r="L499" s="22">
        <f t="shared" si="254"/>
        <v>0</v>
      </c>
      <c r="M499" s="23">
        <f>(L499/60)*VLOOKUP(C499,Employees!A:J,10,0)*2</f>
        <v>0</v>
      </c>
      <c r="N499" s="24">
        <f t="shared" si="255"/>
        <v>26.999999999999584</v>
      </c>
      <c r="O499" s="25">
        <f>(N499/60)*VLOOKUP(C499,Employees!A:J,10,0)</f>
        <v>12.499999999999806</v>
      </c>
      <c r="P499" s="23">
        <f>IF(G499="غياب",VLOOKUP(C499,Employees!$A$3:$J$36,9,FALSE()),0)</f>
        <v>0</v>
      </c>
    </row>
    <row r="500" spans="1:16" ht="15" customHeight="1">
      <c r="A500" s="17" t="s">
        <v>93</v>
      </c>
      <c r="B500" s="19" t="s">
        <v>73</v>
      </c>
      <c r="C500" s="19" t="s">
        <v>36</v>
      </c>
      <c r="D500" s="19" t="str">
        <f>VLOOKUP(C500,Employees!A:J,2,0)</f>
        <v>احمد جمعه</v>
      </c>
      <c r="E500" s="20">
        <v>0.41666666666666702</v>
      </c>
      <c r="F500" s="20">
        <v>0.91666666666666696</v>
      </c>
      <c r="G500" s="21" t="s">
        <v>69</v>
      </c>
      <c r="H500" s="20">
        <f t="shared" si="252"/>
        <v>0.41666666666666702</v>
      </c>
      <c r="I500" s="20">
        <v>0.91666666666666663</v>
      </c>
      <c r="J500" s="22">
        <f t="shared" si="253"/>
        <v>0</v>
      </c>
      <c r="K500" s="47">
        <f>(J500/60)*VLOOKUP(C500,Employees!A:J,10,0)*1.5</f>
        <v>0</v>
      </c>
      <c r="L500" s="22">
        <f t="shared" si="254"/>
        <v>0</v>
      </c>
      <c r="M500" s="23">
        <f>(L500/60)*VLOOKUP(C500,Employees!A:J,10,0)*2</f>
        <v>0</v>
      </c>
      <c r="N500" s="24">
        <f t="shared" si="255"/>
        <v>0</v>
      </c>
      <c r="O500" s="25">
        <f>(N500/60)*VLOOKUP(C500,Employees!A:J,10,0)</f>
        <v>0</v>
      </c>
      <c r="P500" s="23">
        <f>IF(G500="غياب",VLOOKUP(C500,Employees!$A$3:$J$36,9,FALSE()),0)</f>
        <v>0</v>
      </c>
    </row>
    <row r="501" spans="1:16" ht="15" customHeight="1">
      <c r="A501" s="17" t="s">
        <v>94</v>
      </c>
      <c r="B501" s="19" t="s">
        <v>75</v>
      </c>
      <c r="C501" s="19" t="s">
        <v>36</v>
      </c>
      <c r="D501" s="19" t="str">
        <f>VLOOKUP(C501,Employees!A:J,2,0)</f>
        <v>احمد جمعه</v>
      </c>
      <c r="E501" s="20">
        <v>0.41666666666666702</v>
      </c>
      <c r="F501" s="20">
        <v>0.91666666666666696</v>
      </c>
      <c r="G501" s="21" t="s">
        <v>69</v>
      </c>
      <c r="H501" s="20">
        <f t="shared" si="252"/>
        <v>0.41666666666666702</v>
      </c>
      <c r="I501" s="20">
        <v>1.0173611111111112</v>
      </c>
      <c r="J501" s="22">
        <f t="shared" si="253"/>
        <v>0</v>
      </c>
      <c r="K501" s="47">
        <f>(J501/60)*VLOOKUP(C501,Employees!A:J,10,0)*1.5</f>
        <v>0</v>
      </c>
      <c r="L501" s="22">
        <f t="shared" si="254"/>
        <v>0</v>
      </c>
      <c r="M501" s="23">
        <f>(L501/60)*VLOOKUP(C501,Employees!A:J,10,0)*2</f>
        <v>0</v>
      </c>
      <c r="N501" s="24">
        <f t="shared" si="255"/>
        <v>144.99999999999966</v>
      </c>
      <c r="O501" s="25">
        <f>(N501/60)*VLOOKUP(C501,Employees!A:J,10,0)</f>
        <v>67.129629629629477</v>
      </c>
      <c r="P501" s="23">
        <f>IF(G501="غياب",VLOOKUP(C501,Employees!$A$3:$J$36,9,FALSE()),0)</f>
        <v>0</v>
      </c>
    </row>
    <row r="502" spans="1:16" ht="15" customHeight="1">
      <c r="A502" s="26" t="s">
        <v>95</v>
      </c>
      <c r="B502" s="28" t="s">
        <v>77</v>
      </c>
      <c r="C502" s="28" t="s">
        <v>36</v>
      </c>
      <c r="D502" s="28" t="str">
        <f>VLOOKUP(C502,Employees!A:J,2,0)</f>
        <v>احمد جمعه</v>
      </c>
      <c r="E502" s="29" t="s">
        <v>78</v>
      </c>
      <c r="F502" s="29" t="s">
        <v>78</v>
      </c>
      <c r="G502" s="27" t="s">
        <v>79</v>
      </c>
      <c r="H502" s="29" t="s">
        <v>78</v>
      </c>
      <c r="I502" s="29" t="s">
        <v>78</v>
      </c>
      <c r="J502" s="22" t="s">
        <v>78</v>
      </c>
      <c r="K502" s="47" t="s">
        <v>78</v>
      </c>
      <c r="L502" s="22" t="s">
        <v>78</v>
      </c>
      <c r="M502" s="23" t="s">
        <v>78</v>
      </c>
      <c r="N502" s="24" t="s">
        <v>78</v>
      </c>
      <c r="O502" s="24" t="s">
        <v>78</v>
      </c>
      <c r="P502" s="23">
        <f>IF(G502="غياب",VLOOKUP(C502,Employees!$A$3:$J$36,9,FALSE()),0)</f>
        <v>0</v>
      </c>
    </row>
    <row r="503" spans="1:16" ht="15" customHeight="1">
      <c r="A503" s="17" t="s">
        <v>96</v>
      </c>
      <c r="B503" s="19" t="s">
        <v>81</v>
      </c>
      <c r="C503" s="19" t="s">
        <v>36</v>
      </c>
      <c r="D503" s="19" t="str">
        <f>VLOOKUP(C503,Employees!A:J,2,0)</f>
        <v>احمد جمعه</v>
      </c>
      <c r="E503" s="20">
        <v>0.41666666666666702</v>
      </c>
      <c r="F503" s="20">
        <v>0.91666666666666696</v>
      </c>
      <c r="G503" s="21" t="s">
        <v>69</v>
      </c>
      <c r="H503" s="20">
        <f t="shared" ref="H503:H508" si="256">E503</f>
        <v>0.41666666666666702</v>
      </c>
      <c r="I503" s="20">
        <v>0.92083333333333328</v>
      </c>
      <c r="J503" s="22">
        <f t="shared" ref="J503:J508" si="257">IF(OR(H503="",G503="غياب",G503="إجازة أسبوعية"),0,
IF(H503&gt;=E503-TIME(0,20,0),0,
IF(H503&gt;=E503-TIME(0,30,0),30,(E503-H503)*1440)))</f>
        <v>0</v>
      </c>
      <c r="K503" s="47">
        <f>(J503/60)*VLOOKUP(C503,Employees!A:J,10,0)*1.5</f>
        <v>0</v>
      </c>
      <c r="L503" s="22">
        <f t="shared" ref="L503:L508" si="258">IF(OR(H503="",G503="غياب",G503="إجازة أسبوعية"),0,
IF(H503&lt;=E503+TIME(0,30,0),0,
30+((H503-(E503+TIME(0,30,0)))*1440)))</f>
        <v>0</v>
      </c>
      <c r="M503" s="23">
        <f>(L503/60)*VLOOKUP(C503,Employees!A:J,10,0)*2</f>
        <v>0</v>
      </c>
      <c r="N503" s="24">
        <f t="shared" ref="N503:N508" si="259">IF(OR(I503="",G503="غياب",G503="إجازة أسبوعية",I503&lt;=F503),0,
IF(MOD(I503-F503,1)&lt;=TIME(0,25,0),0,MAX(0,(I503-F503)*1440)))</f>
        <v>0</v>
      </c>
      <c r="O503" s="25">
        <f>(N503/60)*VLOOKUP(C503,Employees!A:J,10,0)</f>
        <v>0</v>
      </c>
      <c r="P503" s="23">
        <f>IF(G503="غياب",VLOOKUP(C503,Employees!$A$3:$J$36,9,FALSE()),0)</f>
        <v>0</v>
      </c>
    </row>
    <row r="504" spans="1:16" ht="15" customHeight="1">
      <c r="A504" s="17" t="s">
        <v>97</v>
      </c>
      <c r="B504" s="19" t="s">
        <v>83</v>
      </c>
      <c r="C504" s="19" t="s">
        <v>36</v>
      </c>
      <c r="D504" s="19" t="str">
        <f>VLOOKUP(C504,Employees!A:J,2,0)</f>
        <v>احمد جمعه</v>
      </c>
      <c r="E504" s="20">
        <v>0.41666666666666702</v>
      </c>
      <c r="F504" s="20">
        <v>0.91666666666666696</v>
      </c>
      <c r="G504" s="21" t="s">
        <v>69</v>
      </c>
      <c r="H504" s="20">
        <f t="shared" si="256"/>
        <v>0.41666666666666702</v>
      </c>
      <c r="I504" s="20">
        <v>0.95625000000000004</v>
      </c>
      <c r="J504" s="22">
        <f t="shared" si="257"/>
        <v>0</v>
      </c>
      <c r="K504" s="47">
        <f>(J504/60)*VLOOKUP(C504,Employees!A:J,10,0)*1.5</f>
        <v>0</v>
      </c>
      <c r="L504" s="22">
        <f t="shared" si="258"/>
        <v>0</v>
      </c>
      <c r="M504" s="23">
        <f>(L504/60)*VLOOKUP(C504,Employees!A:J,10,0)*2</f>
        <v>0</v>
      </c>
      <c r="N504" s="24">
        <f t="shared" si="259"/>
        <v>56.999999999999638</v>
      </c>
      <c r="O504" s="25">
        <f>(N504/60)*VLOOKUP(C504,Employees!A:J,10,0)</f>
        <v>26.388888888888719</v>
      </c>
      <c r="P504" s="23">
        <f>IF(G504="غياب",VLOOKUP(C504,Employees!$A$3:$J$36,9,FALSE()),0)</f>
        <v>0</v>
      </c>
    </row>
    <row r="505" spans="1:16" ht="15" customHeight="1">
      <c r="A505" s="17" t="s">
        <v>98</v>
      </c>
      <c r="B505" s="19" t="s">
        <v>68</v>
      </c>
      <c r="C505" s="19" t="s">
        <v>36</v>
      </c>
      <c r="D505" s="19" t="str">
        <f>VLOOKUP(C505,Employees!A:J,2,0)</f>
        <v>احمد جمعه</v>
      </c>
      <c r="E505" s="20">
        <v>0.41666666666666702</v>
      </c>
      <c r="F505" s="20">
        <v>0.91666666666666696</v>
      </c>
      <c r="G505" s="21" t="s">
        <v>69</v>
      </c>
      <c r="H505" s="20">
        <f t="shared" si="256"/>
        <v>0.41666666666666702</v>
      </c>
      <c r="I505" s="20">
        <v>0.93819444444444444</v>
      </c>
      <c r="J505" s="22">
        <f t="shared" si="257"/>
        <v>0</v>
      </c>
      <c r="K505" s="47">
        <f>(J505/60)*VLOOKUP(C505,Employees!A:J,10,0)*1.5</f>
        <v>0</v>
      </c>
      <c r="L505" s="22">
        <f t="shared" si="258"/>
        <v>0</v>
      </c>
      <c r="M505" s="23">
        <f>(L505/60)*VLOOKUP(C505,Employees!A:J,10,0)*2</f>
        <v>0</v>
      </c>
      <c r="N505" s="24">
        <f t="shared" si="259"/>
        <v>30.99999999999957</v>
      </c>
      <c r="O505" s="25">
        <f>(N505/60)*VLOOKUP(C505,Employees!A:J,10,0)</f>
        <v>14.351851851851652</v>
      </c>
      <c r="P505" s="23">
        <f>IF(G505="غياب",VLOOKUP(C505,Employees!$A$3:$J$36,9,FALSE()),0)</f>
        <v>0</v>
      </c>
    </row>
    <row r="506" spans="1:16" ht="15" customHeight="1">
      <c r="A506" s="17" t="s">
        <v>99</v>
      </c>
      <c r="B506" s="19" t="s">
        <v>71</v>
      </c>
      <c r="C506" s="19" t="s">
        <v>36</v>
      </c>
      <c r="D506" s="19" t="str">
        <f>VLOOKUP(C506,Employees!A:J,2,0)</f>
        <v>احمد جمعه</v>
      </c>
      <c r="E506" s="20">
        <v>0.41666666666666702</v>
      </c>
      <c r="F506" s="20">
        <v>0.91666666666666696</v>
      </c>
      <c r="G506" s="21" t="s">
        <v>69</v>
      </c>
      <c r="H506" s="20">
        <f t="shared" si="256"/>
        <v>0.41666666666666702</v>
      </c>
      <c r="I506" s="20">
        <v>0.95833333333333337</v>
      </c>
      <c r="J506" s="22">
        <f t="shared" si="257"/>
        <v>0</v>
      </c>
      <c r="K506" s="47">
        <f>(J506/60)*VLOOKUP(C506,Employees!A:J,10,0)*1.5</f>
        <v>0</v>
      </c>
      <c r="L506" s="22">
        <f t="shared" si="258"/>
        <v>0</v>
      </c>
      <c r="M506" s="23">
        <f>(L506/60)*VLOOKUP(C506,Employees!A:J,10,0)*2</f>
        <v>0</v>
      </c>
      <c r="N506" s="24">
        <f t="shared" si="259"/>
        <v>59.999999999999631</v>
      </c>
      <c r="O506" s="25">
        <f>(N506/60)*VLOOKUP(C506,Employees!A:J,10,0)</f>
        <v>27.777777777777604</v>
      </c>
      <c r="P506" s="23">
        <f>IF(G506="غياب",VLOOKUP(C506,Employees!$A$3:$J$36,9,FALSE()),0)</f>
        <v>0</v>
      </c>
    </row>
    <row r="507" spans="1:16" ht="15" customHeight="1">
      <c r="A507" s="17" t="s">
        <v>100</v>
      </c>
      <c r="B507" s="19" t="s">
        <v>73</v>
      </c>
      <c r="C507" s="19" t="s">
        <v>36</v>
      </c>
      <c r="D507" s="19" t="str">
        <f>VLOOKUP(C507,Employees!A:J,2,0)</f>
        <v>احمد جمعه</v>
      </c>
      <c r="E507" s="20">
        <v>0.375</v>
      </c>
      <c r="F507" s="20">
        <v>0.875</v>
      </c>
      <c r="G507" s="21" t="s">
        <v>69</v>
      </c>
      <c r="H507" s="20">
        <f t="shared" si="256"/>
        <v>0.375</v>
      </c>
      <c r="I507" s="20">
        <v>0.88402777777777775</v>
      </c>
      <c r="J507" s="22">
        <f t="shared" si="257"/>
        <v>0</v>
      </c>
      <c r="K507" s="47">
        <f>(J507/60)*VLOOKUP(C507,Employees!A:J,10,0)*1.5</f>
        <v>0</v>
      </c>
      <c r="L507" s="22">
        <f t="shared" si="258"/>
        <v>0</v>
      </c>
      <c r="M507" s="23">
        <f>(L507/60)*VLOOKUP(C507,Employees!A:J,10,0)*2</f>
        <v>0</v>
      </c>
      <c r="N507" s="24">
        <f t="shared" si="259"/>
        <v>0</v>
      </c>
      <c r="O507" s="25">
        <f>(N507/60)*VLOOKUP(C507,Employees!A:J,10,0)</f>
        <v>0</v>
      </c>
      <c r="P507" s="23">
        <f>IF(G507="غياب",VLOOKUP(C507,Employees!$A$3:$J$36,9,FALSE()),0)</f>
        <v>0</v>
      </c>
    </row>
    <row r="508" spans="1:16" ht="15" customHeight="1">
      <c r="A508" s="17" t="s">
        <v>101</v>
      </c>
      <c r="B508" s="19" t="s">
        <v>75</v>
      </c>
      <c r="C508" s="19" t="s">
        <v>36</v>
      </c>
      <c r="D508" s="19" t="str">
        <f>VLOOKUP(C508,Employees!A:J,2,0)</f>
        <v>احمد جمعه</v>
      </c>
      <c r="E508" s="20">
        <v>0.375</v>
      </c>
      <c r="F508" s="20">
        <v>0.875</v>
      </c>
      <c r="G508" s="21" t="s">
        <v>69</v>
      </c>
      <c r="H508" s="20">
        <f t="shared" si="256"/>
        <v>0.375</v>
      </c>
      <c r="I508" s="20">
        <v>0.875</v>
      </c>
      <c r="J508" s="22">
        <f t="shared" si="257"/>
        <v>0</v>
      </c>
      <c r="K508" s="47">
        <f>(J508/60)*VLOOKUP(C508,Employees!A:J,10,0)*1.5</f>
        <v>0</v>
      </c>
      <c r="L508" s="22">
        <f t="shared" si="258"/>
        <v>0</v>
      </c>
      <c r="M508" s="23">
        <f>(L508/60)*VLOOKUP(C508,Employees!A:J,10,0)*2</f>
        <v>0</v>
      </c>
      <c r="N508" s="24">
        <f t="shared" si="259"/>
        <v>0</v>
      </c>
      <c r="O508" s="25">
        <f>(N508/60)*VLOOKUP(C508,Employees!A:J,10,0)</f>
        <v>0</v>
      </c>
      <c r="P508" s="23">
        <f>IF(G508="غياب",VLOOKUP(C508,Employees!$A$3:$J$36,9,FALSE()),0)</f>
        <v>0</v>
      </c>
    </row>
    <row r="509" spans="1:16" ht="15" customHeight="1">
      <c r="A509" s="26" t="s">
        <v>102</v>
      </c>
      <c r="B509" s="28" t="s">
        <v>77</v>
      </c>
      <c r="C509" s="28" t="s">
        <v>36</v>
      </c>
      <c r="D509" s="28" t="str">
        <f>VLOOKUP(C509,Employees!A:J,2,0)</f>
        <v>احمد جمعه</v>
      </c>
      <c r="E509" s="29" t="s">
        <v>78</v>
      </c>
      <c r="F509" s="29" t="s">
        <v>78</v>
      </c>
      <c r="G509" s="27" t="s">
        <v>79</v>
      </c>
      <c r="H509" s="29" t="s">
        <v>78</v>
      </c>
      <c r="I509" s="29" t="s">
        <v>78</v>
      </c>
      <c r="J509" s="22" t="s">
        <v>78</v>
      </c>
      <c r="K509" s="47" t="s">
        <v>78</v>
      </c>
      <c r="L509" s="22" t="s">
        <v>78</v>
      </c>
      <c r="M509" s="23" t="s">
        <v>78</v>
      </c>
      <c r="N509" s="24" t="s">
        <v>78</v>
      </c>
      <c r="O509" s="24" t="s">
        <v>78</v>
      </c>
      <c r="P509" s="23">
        <f>IF(G509="غياب",VLOOKUP(C509,Employees!$A$3:$J$36,9,FALSE()),0)</f>
        <v>0</v>
      </c>
    </row>
    <row r="510" spans="1:16" ht="15" customHeight="1">
      <c r="A510" s="17" t="s">
        <v>103</v>
      </c>
      <c r="B510" s="19" t="s">
        <v>81</v>
      </c>
      <c r="C510" s="19" t="s">
        <v>36</v>
      </c>
      <c r="D510" s="19" t="str">
        <f>VLOOKUP(C510,Employees!A:J,2,0)</f>
        <v>احمد جمعه</v>
      </c>
      <c r="E510" s="20">
        <v>0.375</v>
      </c>
      <c r="F510" s="20">
        <v>0.875</v>
      </c>
      <c r="G510" s="21" t="s">
        <v>69</v>
      </c>
      <c r="H510" s="20">
        <f t="shared" ref="H510:H517" si="260">E510</f>
        <v>0.375</v>
      </c>
      <c r="I510" s="20">
        <v>0.92708333333333337</v>
      </c>
      <c r="J510" s="22">
        <f t="shared" ref="J510:J517" si="261">IF(OR(H510="",G510="غياب",G510="إجازة أسبوعية"),0,
IF(H510&gt;=E510-TIME(0,20,0),0,
IF(H510&gt;=E510-TIME(0,30,0),30,(E510-H510)*1440)))</f>
        <v>0</v>
      </c>
      <c r="K510" s="47">
        <f>(J510/60)*VLOOKUP(C510,Employees!A:J,10,0)*1.5</f>
        <v>0</v>
      </c>
      <c r="L510" s="22">
        <f t="shared" ref="L510:L517" si="262">IF(OR(H510="",G510="غياب",G510="إجازة أسبوعية"),0,
IF(H510&lt;=E510+TIME(0,30,0),0,
30+((H510-(E510+TIME(0,30,0)))*1440)))</f>
        <v>0</v>
      </c>
      <c r="M510" s="23">
        <f>(L510/60)*VLOOKUP(C510,Employees!A:J,10,0)*2</f>
        <v>0</v>
      </c>
      <c r="N510" s="24">
        <f t="shared" ref="N510:N517" si="263">IF(OR(I510="",G510="غياب",G510="إجازة أسبوعية",I510&lt;=F510),0,
IF(MOD(I510-F510,1)&lt;=TIME(0,25,0),0,MAX(0,(I510-F510)*1440)))</f>
        <v>75.000000000000057</v>
      </c>
      <c r="O510" s="25">
        <f>(N510/60)*VLOOKUP(C510,Employees!A:J,10,0)</f>
        <v>34.722222222222243</v>
      </c>
      <c r="P510" s="23">
        <f>IF(G510="غياب",VLOOKUP(C510,Employees!$A$3:$J$36,9,FALSE()),0)</f>
        <v>0</v>
      </c>
    </row>
    <row r="511" spans="1:16" ht="15" customHeight="1">
      <c r="A511" s="17" t="s">
        <v>104</v>
      </c>
      <c r="B511" s="19" t="s">
        <v>83</v>
      </c>
      <c r="C511" s="19" t="s">
        <v>36</v>
      </c>
      <c r="D511" s="19" t="str">
        <f>VLOOKUP(C511,Employees!A:J,2,0)</f>
        <v>احمد جمعه</v>
      </c>
      <c r="E511" s="20">
        <v>0.375</v>
      </c>
      <c r="F511" s="20">
        <v>0.875</v>
      </c>
      <c r="G511" s="21" t="s">
        <v>69</v>
      </c>
      <c r="H511" s="20">
        <f t="shared" si="260"/>
        <v>0.375</v>
      </c>
      <c r="I511" s="20">
        <v>0.91736111111111107</v>
      </c>
      <c r="J511" s="22">
        <f t="shared" si="261"/>
        <v>0</v>
      </c>
      <c r="K511" s="47">
        <f>(J511/60)*VLOOKUP(C511,Employees!A:J,10,0)*1.5</f>
        <v>0</v>
      </c>
      <c r="L511" s="22">
        <f t="shared" si="262"/>
        <v>0</v>
      </c>
      <c r="M511" s="23">
        <f>(L511/60)*VLOOKUP(C511,Employees!A:J,10,0)*2</f>
        <v>0</v>
      </c>
      <c r="N511" s="24">
        <f t="shared" si="263"/>
        <v>60.999999999999943</v>
      </c>
      <c r="O511" s="25">
        <f>(N511/60)*VLOOKUP(C511,Employees!A:J,10,0)</f>
        <v>28.240740740740712</v>
      </c>
      <c r="P511" s="23">
        <f>IF(G511="غياب",VLOOKUP(C511,Employees!$A$3:$J$36,9,FALSE()),0)</f>
        <v>0</v>
      </c>
    </row>
    <row r="512" spans="1:16" ht="15" customHeight="1">
      <c r="A512" s="17" t="s">
        <v>105</v>
      </c>
      <c r="B512" s="19" t="s">
        <v>68</v>
      </c>
      <c r="C512" s="19" t="s">
        <v>36</v>
      </c>
      <c r="D512" s="19" t="str">
        <f>VLOOKUP(C512,Employees!A:J,2,0)</f>
        <v>احمد جمعه</v>
      </c>
      <c r="E512" s="20">
        <v>0.375</v>
      </c>
      <c r="F512" s="20">
        <v>0.875</v>
      </c>
      <c r="G512" s="21" t="s">
        <v>69</v>
      </c>
      <c r="H512" s="20">
        <f t="shared" si="260"/>
        <v>0.375</v>
      </c>
      <c r="I512" s="20">
        <v>0.91527777777777775</v>
      </c>
      <c r="J512" s="22">
        <f t="shared" si="261"/>
        <v>0</v>
      </c>
      <c r="K512" s="47">
        <f>(J512/60)*VLOOKUP(C512,Employees!A:J,10,0)*1.5</f>
        <v>0</v>
      </c>
      <c r="L512" s="22">
        <f t="shared" si="262"/>
        <v>0</v>
      </c>
      <c r="M512" s="23">
        <f>(L512/60)*VLOOKUP(C512,Employees!A:J,10,0)*2</f>
        <v>0</v>
      </c>
      <c r="N512" s="24">
        <f t="shared" si="263"/>
        <v>57.999999999999957</v>
      </c>
      <c r="O512" s="25">
        <f>(N512/60)*VLOOKUP(C512,Employees!A:J,10,0)</f>
        <v>26.85185185185183</v>
      </c>
      <c r="P512" s="23">
        <f>IF(G512="غياب",VLOOKUP(C512,Employees!$A$3:$J$36,9,FALSE()),0)</f>
        <v>0</v>
      </c>
    </row>
    <row r="513" spans="1:16" ht="15" customHeight="1">
      <c r="A513" s="17" t="s">
        <v>106</v>
      </c>
      <c r="B513" s="19" t="s">
        <v>71</v>
      </c>
      <c r="C513" s="19" t="s">
        <v>36</v>
      </c>
      <c r="D513" s="19" t="str">
        <f>VLOOKUP(C513,Employees!A:J,2,0)</f>
        <v>احمد جمعه</v>
      </c>
      <c r="E513" s="20">
        <v>0.375</v>
      </c>
      <c r="F513" s="20">
        <v>0.875</v>
      </c>
      <c r="G513" s="21" t="s">
        <v>69</v>
      </c>
      <c r="H513" s="20">
        <f t="shared" si="260"/>
        <v>0.375</v>
      </c>
      <c r="I513" s="20">
        <v>0.88263888888888886</v>
      </c>
      <c r="J513" s="22">
        <f t="shared" si="261"/>
        <v>0</v>
      </c>
      <c r="K513" s="47">
        <f>(J513/60)*VLOOKUP(C513,Employees!A:J,10,0)*1.5</f>
        <v>0</v>
      </c>
      <c r="L513" s="22">
        <f t="shared" si="262"/>
        <v>0</v>
      </c>
      <c r="M513" s="23">
        <f>(L513/60)*VLOOKUP(C513,Employees!A:J,10,0)*2</f>
        <v>0</v>
      </c>
      <c r="N513" s="24">
        <f t="shared" si="263"/>
        <v>0</v>
      </c>
      <c r="O513" s="25">
        <f>(N513/60)*VLOOKUP(C513,Employees!A:J,10,0)</f>
        <v>0</v>
      </c>
      <c r="P513" s="23">
        <f>IF(G513="غياب",VLOOKUP(C513,Employees!$A$3:$J$36,9,FALSE()),0)</f>
        <v>0</v>
      </c>
    </row>
    <row r="514" spans="1:16" ht="15" customHeight="1">
      <c r="A514" s="17" t="s">
        <v>67</v>
      </c>
      <c r="B514" s="19" t="s">
        <v>68</v>
      </c>
      <c r="C514" s="19" t="s">
        <v>38</v>
      </c>
      <c r="D514" s="19" t="str">
        <f>VLOOKUP(C514,Employees!A:J,2,0)</f>
        <v>محمد سمير</v>
      </c>
      <c r="E514" s="20">
        <v>0.375</v>
      </c>
      <c r="F514" s="20">
        <v>0.875</v>
      </c>
      <c r="G514" s="21" t="s">
        <v>69</v>
      </c>
      <c r="H514" s="20">
        <f t="shared" si="260"/>
        <v>0.375</v>
      </c>
      <c r="I514" s="20">
        <v>0.85833333333333328</v>
      </c>
      <c r="J514" s="22">
        <f t="shared" si="261"/>
        <v>0</v>
      </c>
      <c r="K514" s="47">
        <f>(J514/60)*VLOOKUP(C514,Employees!A:J,10,0)*1.5</f>
        <v>0</v>
      </c>
      <c r="L514" s="22">
        <f t="shared" si="262"/>
        <v>0</v>
      </c>
      <c r="M514" s="23">
        <f>(L514/60)*VLOOKUP(C514,Employees!A:J,10,0)*2</f>
        <v>0</v>
      </c>
      <c r="N514" s="24">
        <f t="shared" si="263"/>
        <v>0</v>
      </c>
      <c r="O514" s="25">
        <f>(N514/60)*VLOOKUP(C514,Employees!A:J,10,0)</f>
        <v>0</v>
      </c>
      <c r="P514" s="23">
        <f>IF(G514="غياب",VLOOKUP(C514,Employees!$A$3:$J$36,9,FALSE()),0)</f>
        <v>0</v>
      </c>
    </row>
    <row r="515" spans="1:16" ht="15" customHeight="1">
      <c r="A515" s="17" t="s">
        <v>70</v>
      </c>
      <c r="B515" s="19" t="s">
        <v>71</v>
      </c>
      <c r="C515" s="19" t="s">
        <v>38</v>
      </c>
      <c r="D515" s="19" t="str">
        <f>VLOOKUP(C515,Employees!A:J,2,0)</f>
        <v>محمد سمير</v>
      </c>
      <c r="E515" s="20">
        <v>0.375</v>
      </c>
      <c r="F515" s="20">
        <v>0.875</v>
      </c>
      <c r="G515" s="21" t="s">
        <v>69</v>
      </c>
      <c r="H515" s="20">
        <f t="shared" si="260"/>
        <v>0.375</v>
      </c>
      <c r="I515" s="20">
        <v>0.86527777777777781</v>
      </c>
      <c r="J515" s="22">
        <f t="shared" si="261"/>
        <v>0</v>
      </c>
      <c r="K515" s="47">
        <f>(J515/60)*VLOOKUP(C515,Employees!A:J,10,0)*1.5</f>
        <v>0</v>
      </c>
      <c r="L515" s="22">
        <f t="shared" si="262"/>
        <v>0</v>
      </c>
      <c r="M515" s="23">
        <f>(L515/60)*VLOOKUP(C515,Employees!A:J,10,0)*2</f>
        <v>0</v>
      </c>
      <c r="N515" s="24">
        <f t="shared" si="263"/>
        <v>0</v>
      </c>
      <c r="O515" s="25">
        <f>(N515/60)*VLOOKUP(C515,Employees!A:J,10,0)</f>
        <v>0</v>
      </c>
      <c r="P515" s="23">
        <f>IF(G515="غياب",VLOOKUP(C515,Employees!$A$3:$J$36,9,FALSE()),0)</f>
        <v>0</v>
      </c>
    </row>
    <row r="516" spans="1:16" ht="15" customHeight="1">
      <c r="A516" s="17" t="s">
        <v>72</v>
      </c>
      <c r="B516" s="19" t="s">
        <v>73</v>
      </c>
      <c r="C516" s="19" t="s">
        <v>38</v>
      </c>
      <c r="D516" s="19" t="str">
        <f>VLOOKUP(C516,Employees!A:J,2,0)</f>
        <v>محمد سمير</v>
      </c>
      <c r="E516" s="20">
        <v>0.375</v>
      </c>
      <c r="F516" s="20">
        <v>0.875</v>
      </c>
      <c r="G516" s="21" t="s">
        <v>69</v>
      </c>
      <c r="H516" s="20">
        <f t="shared" si="260"/>
        <v>0.375</v>
      </c>
      <c r="I516" s="20">
        <v>0.8833333333333333</v>
      </c>
      <c r="J516" s="22">
        <f t="shared" si="261"/>
        <v>0</v>
      </c>
      <c r="K516" s="47">
        <f>(J516/60)*VLOOKUP(C516,Employees!A:J,10,0)*1.5</f>
        <v>0</v>
      </c>
      <c r="L516" s="22">
        <f t="shared" si="262"/>
        <v>0</v>
      </c>
      <c r="M516" s="23">
        <f>(L516/60)*VLOOKUP(C516,Employees!A:J,10,0)*2</f>
        <v>0</v>
      </c>
      <c r="N516" s="24">
        <f t="shared" si="263"/>
        <v>0</v>
      </c>
      <c r="O516" s="25">
        <f>(N516/60)*VLOOKUP(C516,Employees!A:J,10,0)</f>
        <v>0</v>
      </c>
      <c r="P516" s="23">
        <f>IF(G516="غياب",VLOOKUP(C516,Employees!$A$3:$J$36,9,FALSE()),0)</f>
        <v>0</v>
      </c>
    </row>
    <row r="517" spans="1:16" ht="15" customHeight="1">
      <c r="A517" s="17" t="s">
        <v>74</v>
      </c>
      <c r="B517" s="19" t="s">
        <v>75</v>
      </c>
      <c r="C517" s="19" t="s">
        <v>38</v>
      </c>
      <c r="D517" s="19" t="str">
        <f>VLOOKUP(C517,Employees!A:J,2,0)</f>
        <v>محمد سمير</v>
      </c>
      <c r="E517" s="20">
        <v>0.375</v>
      </c>
      <c r="F517" s="20">
        <v>0.875</v>
      </c>
      <c r="G517" s="21" t="s">
        <v>69</v>
      </c>
      <c r="H517" s="20">
        <f t="shared" si="260"/>
        <v>0.375</v>
      </c>
      <c r="I517" s="20">
        <v>0.875</v>
      </c>
      <c r="J517" s="22">
        <f t="shared" si="261"/>
        <v>0</v>
      </c>
      <c r="K517" s="47">
        <f>(J517/60)*VLOOKUP(C517,Employees!A:J,10,0)*1.5</f>
        <v>0</v>
      </c>
      <c r="L517" s="22">
        <f t="shared" si="262"/>
        <v>0</v>
      </c>
      <c r="M517" s="23">
        <f>(L517/60)*VLOOKUP(C517,Employees!A:J,10,0)*2</f>
        <v>0</v>
      </c>
      <c r="N517" s="24">
        <f t="shared" si="263"/>
        <v>0</v>
      </c>
      <c r="O517" s="25">
        <f>(N517/60)*VLOOKUP(C517,Employees!A:J,10,0)</f>
        <v>0</v>
      </c>
      <c r="P517" s="23">
        <f>IF(G517="غياب",VLOOKUP(C517,Employees!$A$3:$J$36,9,FALSE()),0)</f>
        <v>0</v>
      </c>
    </row>
    <row r="518" spans="1:16" ht="15" customHeight="1">
      <c r="A518" s="26" t="s">
        <v>76</v>
      </c>
      <c r="B518" s="28" t="s">
        <v>77</v>
      </c>
      <c r="C518" s="28" t="s">
        <v>38</v>
      </c>
      <c r="D518" s="28" t="str">
        <f>VLOOKUP(C518,Employees!A:J,2,0)</f>
        <v>محمد سمير</v>
      </c>
      <c r="E518" s="29" t="s">
        <v>78</v>
      </c>
      <c r="F518" s="29" t="s">
        <v>78</v>
      </c>
      <c r="G518" s="27" t="s">
        <v>79</v>
      </c>
      <c r="H518" s="29" t="s">
        <v>78</v>
      </c>
      <c r="I518" s="29" t="s">
        <v>78</v>
      </c>
      <c r="J518" s="22" t="s">
        <v>78</v>
      </c>
      <c r="K518" s="47" t="s">
        <v>78</v>
      </c>
      <c r="L518" s="22" t="s">
        <v>78</v>
      </c>
      <c r="M518" s="23" t="s">
        <v>78</v>
      </c>
      <c r="N518" s="24" t="s">
        <v>78</v>
      </c>
      <c r="O518" s="24" t="s">
        <v>78</v>
      </c>
      <c r="P518" s="23">
        <f>IF(G518="غياب",VLOOKUP(C518,Employees!$A$3:$J$36,9,FALSE()),0)</f>
        <v>0</v>
      </c>
    </row>
    <row r="519" spans="1:16" ht="15" customHeight="1">
      <c r="A519" s="17" t="s">
        <v>80</v>
      </c>
      <c r="B519" s="19" t="s">
        <v>81</v>
      </c>
      <c r="C519" s="19" t="s">
        <v>38</v>
      </c>
      <c r="D519" s="19" t="str">
        <f>VLOOKUP(C519,Employees!A:J,2,0)</f>
        <v>محمد سمير</v>
      </c>
      <c r="E519" s="20">
        <v>0.375</v>
      </c>
      <c r="F519" s="20">
        <v>0.875</v>
      </c>
      <c r="G519" s="21" t="s">
        <v>69</v>
      </c>
      <c r="H519" s="20">
        <f t="shared" ref="H519:H524" si="264">E519</f>
        <v>0.375</v>
      </c>
      <c r="I519" s="20">
        <v>0.875</v>
      </c>
      <c r="J519" s="22">
        <f t="shared" ref="J519:J524" si="265">IF(OR(H519="",G519="غياب",G519="إجازة أسبوعية"),0,
IF(H519&gt;=E519-TIME(0,20,0),0,
IF(H519&gt;=E519-TIME(0,30,0),30,(E519-H519)*1440)))</f>
        <v>0</v>
      </c>
      <c r="K519" s="47">
        <f>(J519/60)*VLOOKUP(C519,Employees!A:J,10,0)*1.5</f>
        <v>0</v>
      </c>
      <c r="L519" s="22">
        <f t="shared" ref="L519:L524" si="266">IF(OR(H519="",G519="غياب",G519="إجازة أسبوعية"),0,
IF(H519&lt;=E519+TIME(0,30,0),0,
30+((H519-(E519+TIME(0,30,0)))*1440)))</f>
        <v>0</v>
      </c>
      <c r="M519" s="23">
        <f>(L519/60)*VLOOKUP(C519,Employees!A:J,10,0)*2</f>
        <v>0</v>
      </c>
      <c r="N519" s="24">
        <f t="shared" ref="N519:N524" si="267">IF(OR(I519="",G519="غياب",G519="إجازة أسبوعية",I519&lt;=F519),0,
IF(MOD(I519-F519,1)&lt;=TIME(0,25,0),0,MAX(0,(I519-F519)*1440)))</f>
        <v>0</v>
      </c>
      <c r="O519" s="25">
        <f>(N519/60)*VLOOKUP(C519,Employees!A:J,10,0)</f>
        <v>0</v>
      </c>
      <c r="P519" s="23">
        <f>IF(G519="غياب",VLOOKUP(C519,Employees!$A$3:$J$36,9,FALSE()),0)</f>
        <v>0</v>
      </c>
    </row>
    <row r="520" spans="1:16" ht="15" customHeight="1">
      <c r="A520" s="17" t="s">
        <v>82</v>
      </c>
      <c r="B520" s="19" t="s">
        <v>83</v>
      </c>
      <c r="C520" s="19" t="s">
        <v>38</v>
      </c>
      <c r="D520" s="19" t="str">
        <f>VLOOKUP(C520,Employees!A:J,2,0)</f>
        <v>محمد سمير</v>
      </c>
      <c r="E520" s="20">
        <v>0.375</v>
      </c>
      <c r="F520" s="20">
        <v>0.875</v>
      </c>
      <c r="G520" s="21" t="s">
        <v>69</v>
      </c>
      <c r="H520" s="20">
        <f t="shared" si="264"/>
        <v>0.375</v>
      </c>
      <c r="I520" s="20">
        <v>0.87083333333333335</v>
      </c>
      <c r="J520" s="22">
        <f t="shared" si="265"/>
        <v>0</v>
      </c>
      <c r="K520" s="47">
        <f>(J520/60)*VLOOKUP(C520,Employees!A:J,10,0)*1.5</f>
        <v>0</v>
      </c>
      <c r="L520" s="22">
        <f t="shared" si="266"/>
        <v>0</v>
      </c>
      <c r="M520" s="23">
        <f>(L520/60)*VLOOKUP(C520,Employees!A:J,10,0)*2</f>
        <v>0</v>
      </c>
      <c r="N520" s="24">
        <f t="shared" si="267"/>
        <v>0</v>
      </c>
      <c r="O520" s="25">
        <f>(N520/60)*VLOOKUP(C520,Employees!A:J,10,0)</f>
        <v>0</v>
      </c>
      <c r="P520" s="23">
        <f>IF(G520="غياب",VLOOKUP(C520,Employees!$A$3:$J$36,9,FALSE()),0)</f>
        <v>0</v>
      </c>
    </row>
    <row r="521" spans="1:16" ht="15" customHeight="1">
      <c r="A521" s="17" t="s">
        <v>84</v>
      </c>
      <c r="B521" s="19" t="s">
        <v>68</v>
      </c>
      <c r="C521" s="19" t="s">
        <v>38</v>
      </c>
      <c r="D521" s="19" t="str">
        <f>VLOOKUP(C521,Employees!A:J,2,0)</f>
        <v>محمد سمير</v>
      </c>
      <c r="E521" s="20">
        <v>0.375</v>
      </c>
      <c r="F521" s="20">
        <v>0.875</v>
      </c>
      <c r="G521" s="21" t="s">
        <v>69</v>
      </c>
      <c r="H521" s="20">
        <f t="shared" si="264"/>
        <v>0.375</v>
      </c>
      <c r="I521" s="20">
        <v>0.97222222222222221</v>
      </c>
      <c r="J521" s="22">
        <f t="shared" si="265"/>
        <v>0</v>
      </c>
      <c r="K521" s="47">
        <f>(J521/60)*VLOOKUP(C521,Employees!A:J,10,0)*1.5</f>
        <v>0</v>
      </c>
      <c r="L521" s="22">
        <f t="shared" si="266"/>
        <v>0</v>
      </c>
      <c r="M521" s="23">
        <f>(L521/60)*VLOOKUP(C521,Employees!A:J,10,0)*2</f>
        <v>0</v>
      </c>
      <c r="N521" s="24">
        <f t="shared" si="267"/>
        <v>139.99999999999997</v>
      </c>
      <c r="O521" s="25">
        <f>(N521/60)*VLOOKUP(C521,Employees!A:J,10,0)</f>
        <v>64.814814814814795</v>
      </c>
      <c r="P521" s="23">
        <f>IF(G521="غياب",VLOOKUP(C521,Employees!$A$3:$J$36,9,FALSE()),0)</f>
        <v>0</v>
      </c>
    </row>
    <row r="522" spans="1:16" ht="15" customHeight="1">
      <c r="A522" s="17" t="s">
        <v>85</v>
      </c>
      <c r="B522" s="19" t="s">
        <v>71</v>
      </c>
      <c r="C522" s="19" t="s">
        <v>38</v>
      </c>
      <c r="D522" s="19" t="str">
        <f>VLOOKUP(C522,Employees!A:J,2,0)</f>
        <v>محمد سمير</v>
      </c>
      <c r="E522" s="20">
        <v>0.375</v>
      </c>
      <c r="F522" s="20">
        <v>0.875</v>
      </c>
      <c r="G522" s="21" t="s">
        <v>69</v>
      </c>
      <c r="H522" s="20">
        <f t="shared" si="264"/>
        <v>0.375</v>
      </c>
      <c r="I522" s="20">
        <v>0.91041666666666665</v>
      </c>
      <c r="J522" s="22">
        <f t="shared" si="265"/>
        <v>0</v>
      </c>
      <c r="K522" s="47">
        <f>(J522/60)*VLOOKUP(C522,Employees!A:J,10,0)*1.5</f>
        <v>0</v>
      </c>
      <c r="L522" s="22">
        <f t="shared" si="266"/>
        <v>0</v>
      </c>
      <c r="M522" s="23">
        <f>(L522/60)*VLOOKUP(C522,Employees!A:J,10,0)*2</f>
        <v>0</v>
      </c>
      <c r="N522" s="24">
        <f t="shared" si="267"/>
        <v>50.999999999999979</v>
      </c>
      <c r="O522" s="25">
        <f>(N522/60)*VLOOKUP(C522,Employees!A:J,10,0)</f>
        <v>23.6111111111111</v>
      </c>
      <c r="P522" s="23">
        <f>IF(G522="غياب",VLOOKUP(C522,Employees!$A$3:$J$36,9,FALSE()),0)</f>
        <v>0</v>
      </c>
    </row>
    <row r="523" spans="1:16" ht="15" customHeight="1">
      <c r="A523" s="17" t="s">
        <v>86</v>
      </c>
      <c r="B523" s="19" t="s">
        <v>73</v>
      </c>
      <c r="C523" s="19" t="s">
        <v>38</v>
      </c>
      <c r="D523" s="19" t="str">
        <f>VLOOKUP(C523,Employees!A:J,2,0)</f>
        <v>محمد سمير</v>
      </c>
      <c r="E523" s="20">
        <v>0.375</v>
      </c>
      <c r="F523" s="20">
        <v>0.875</v>
      </c>
      <c r="G523" s="21" t="s">
        <v>69</v>
      </c>
      <c r="H523" s="20">
        <f t="shared" si="264"/>
        <v>0.375</v>
      </c>
      <c r="I523" s="20">
        <v>0.91041666666666665</v>
      </c>
      <c r="J523" s="22">
        <f t="shared" si="265"/>
        <v>0</v>
      </c>
      <c r="K523" s="47">
        <f>(J523/60)*VLOOKUP(C523,Employees!A:J,10,0)*1.5</f>
        <v>0</v>
      </c>
      <c r="L523" s="22">
        <f t="shared" si="266"/>
        <v>0</v>
      </c>
      <c r="M523" s="23">
        <f>(L523/60)*VLOOKUP(C523,Employees!A:J,10,0)*2</f>
        <v>0</v>
      </c>
      <c r="N523" s="24">
        <f t="shared" si="267"/>
        <v>50.999999999999979</v>
      </c>
      <c r="O523" s="25">
        <f>(N523/60)*VLOOKUP(C523,Employees!A:J,10,0)</f>
        <v>23.6111111111111</v>
      </c>
      <c r="P523" s="23">
        <f>IF(G523="غياب",VLOOKUP(C523,Employees!$A$3:$J$36,9,FALSE()),0)</f>
        <v>0</v>
      </c>
    </row>
    <row r="524" spans="1:16" ht="15" customHeight="1">
      <c r="A524" s="17" t="s">
        <v>87</v>
      </c>
      <c r="B524" s="19" t="s">
        <v>75</v>
      </c>
      <c r="C524" s="19" t="s">
        <v>38</v>
      </c>
      <c r="D524" s="19" t="str">
        <f>VLOOKUP(C524,Employees!A:J,2,0)</f>
        <v>محمد سمير</v>
      </c>
      <c r="E524" s="20">
        <v>0.41666666666666702</v>
      </c>
      <c r="F524" s="20">
        <v>0.91666666666666696</v>
      </c>
      <c r="G524" s="21" t="s">
        <v>69</v>
      </c>
      <c r="H524" s="20">
        <f t="shared" si="264"/>
        <v>0.41666666666666702</v>
      </c>
      <c r="I524" s="20">
        <v>0.91666666666666663</v>
      </c>
      <c r="J524" s="22">
        <f t="shared" si="265"/>
        <v>0</v>
      </c>
      <c r="K524" s="47">
        <f>(J524/60)*VLOOKUP(C524,Employees!A:J,10,0)*1.5</f>
        <v>0</v>
      </c>
      <c r="L524" s="22">
        <f t="shared" si="266"/>
        <v>0</v>
      </c>
      <c r="M524" s="23">
        <f>(L524/60)*VLOOKUP(C524,Employees!A:J,10,0)*2</f>
        <v>0</v>
      </c>
      <c r="N524" s="24">
        <f t="shared" si="267"/>
        <v>0</v>
      </c>
      <c r="O524" s="25">
        <f>(N524/60)*VLOOKUP(C524,Employees!A:J,10,0)</f>
        <v>0</v>
      </c>
      <c r="P524" s="23">
        <f>IF(G524="غياب",VLOOKUP(C524,Employees!$A$3:$J$36,9,FALSE()),0)</f>
        <v>0</v>
      </c>
    </row>
    <row r="525" spans="1:16" ht="15" customHeight="1">
      <c r="A525" s="26" t="s">
        <v>88</v>
      </c>
      <c r="B525" s="28" t="s">
        <v>77</v>
      </c>
      <c r="C525" s="28" t="s">
        <v>38</v>
      </c>
      <c r="D525" s="28" t="str">
        <f>VLOOKUP(C525,Employees!A:J,2,0)</f>
        <v>محمد سمير</v>
      </c>
      <c r="E525" s="29" t="s">
        <v>78</v>
      </c>
      <c r="F525" s="29" t="s">
        <v>78</v>
      </c>
      <c r="G525" s="27" t="s">
        <v>79</v>
      </c>
      <c r="H525" s="29" t="s">
        <v>78</v>
      </c>
      <c r="I525" s="29" t="s">
        <v>78</v>
      </c>
      <c r="J525" s="22" t="s">
        <v>78</v>
      </c>
      <c r="K525" s="47" t="s">
        <v>78</v>
      </c>
      <c r="L525" s="22" t="s">
        <v>78</v>
      </c>
      <c r="M525" s="23" t="s">
        <v>78</v>
      </c>
      <c r="N525" s="24" t="s">
        <v>78</v>
      </c>
      <c r="O525" s="24" t="s">
        <v>78</v>
      </c>
      <c r="P525" s="23">
        <f>IF(G525="غياب",VLOOKUP(C525,Employees!$A$3:$J$36,9,FALSE()),0)</f>
        <v>0</v>
      </c>
    </row>
    <row r="526" spans="1:16" ht="15" customHeight="1">
      <c r="A526" s="26" t="s">
        <v>89</v>
      </c>
      <c r="B526" s="28" t="s">
        <v>81</v>
      </c>
      <c r="C526" s="28" t="s">
        <v>38</v>
      </c>
      <c r="D526" s="28" t="str">
        <f>VLOOKUP(C526,Employees!A:J,2,0)</f>
        <v>محمد سمير</v>
      </c>
      <c r="E526" s="29" t="s">
        <v>78</v>
      </c>
      <c r="F526" s="29" t="s">
        <v>78</v>
      </c>
      <c r="G526" s="27" t="s">
        <v>79</v>
      </c>
      <c r="H526" s="29" t="s">
        <v>78</v>
      </c>
      <c r="I526" s="29" t="s">
        <v>78</v>
      </c>
      <c r="J526" s="22" t="s">
        <v>78</v>
      </c>
      <c r="K526" s="47" t="s">
        <v>78</v>
      </c>
      <c r="L526" s="22" t="s">
        <v>78</v>
      </c>
      <c r="M526" s="23" t="s">
        <v>78</v>
      </c>
      <c r="N526" s="24" t="s">
        <v>78</v>
      </c>
      <c r="O526" s="24" t="s">
        <v>78</v>
      </c>
      <c r="P526" s="23">
        <f>IF(G526="غياب",VLOOKUP(C526,Employees!$A$3:$J$36,9,FALSE()),0)</f>
        <v>0</v>
      </c>
    </row>
    <row r="527" spans="1:16" ht="15" customHeight="1">
      <c r="A527" s="17" t="s">
        <v>90</v>
      </c>
      <c r="B527" s="19" t="s">
        <v>83</v>
      </c>
      <c r="C527" s="19" t="s">
        <v>38</v>
      </c>
      <c r="D527" s="19" t="str">
        <f>VLOOKUP(C527,Employees!A:J,2,0)</f>
        <v>محمد سمير</v>
      </c>
      <c r="E527" s="20">
        <v>0.41666666666666702</v>
      </c>
      <c r="F527" s="20">
        <v>0.91666666666666696</v>
      </c>
      <c r="G527" s="21" t="s">
        <v>69</v>
      </c>
      <c r="H527" s="20">
        <f t="shared" ref="H527:H531" si="268">E527</f>
        <v>0.41666666666666702</v>
      </c>
      <c r="I527" s="20">
        <v>0.93263888888888891</v>
      </c>
      <c r="J527" s="22">
        <f t="shared" ref="J527:J531" si="269">IF(OR(H527="",G527="غياب",G527="إجازة أسبوعية"),0,
IF(H527&gt;=E527-TIME(0,20,0),0,
IF(H527&gt;=E527-TIME(0,30,0),30,(E527-H527)*1440)))</f>
        <v>0</v>
      </c>
      <c r="K527" s="47">
        <f>(J527/60)*VLOOKUP(C527,Employees!A:J,10,0)*1.5</f>
        <v>0</v>
      </c>
      <c r="L527" s="22">
        <f t="shared" ref="L527:L531" si="270">IF(OR(H527="",G527="غياب",G527="إجازة أسبوعية"),0,
IF(H527&lt;=E527+TIME(0,30,0),0,
30+((H527-(E527+TIME(0,30,0)))*1440)))</f>
        <v>0</v>
      </c>
      <c r="M527" s="23">
        <f>(L527/60)*VLOOKUP(C527,Employees!A:J,10,0)*2</f>
        <v>0</v>
      </c>
      <c r="N527" s="24">
        <f t="shared" ref="N527:N531" si="271">IF(OR(I527="",G527="غياب",G527="إجازة أسبوعية",I527&lt;=F527),0,
IF(MOD(I527-F527,1)&lt;=TIME(0,25,0),0,MAX(0,(I527-F527)*1440)))</f>
        <v>0</v>
      </c>
      <c r="O527" s="25">
        <f>(N527/60)*VLOOKUP(C527,Employees!A:J,10,0)</f>
        <v>0</v>
      </c>
      <c r="P527" s="23">
        <f>IF(G527="غياب",VLOOKUP(C527,Employees!$A$3:$J$36,9,FALSE()),0)</f>
        <v>0</v>
      </c>
    </row>
    <row r="528" spans="1:16" ht="15" customHeight="1">
      <c r="A528" s="17" t="s">
        <v>91</v>
      </c>
      <c r="B528" s="19" t="s">
        <v>68</v>
      </c>
      <c r="C528" s="19" t="s">
        <v>38</v>
      </c>
      <c r="D528" s="19" t="str">
        <f>VLOOKUP(C528,Employees!A:J,2,0)</f>
        <v>محمد سمير</v>
      </c>
      <c r="E528" s="20">
        <v>0.41666666666666702</v>
      </c>
      <c r="F528" s="20">
        <v>0.91666666666666696</v>
      </c>
      <c r="G528" s="21" t="s">
        <v>69</v>
      </c>
      <c r="H528" s="20">
        <f t="shared" si="268"/>
        <v>0.41666666666666702</v>
      </c>
      <c r="I528" s="20">
        <v>0.91388888888888886</v>
      </c>
      <c r="J528" s="22">
        <f t="shared" si="269"/>
        <v>0</v>
      </c>
      <c r="K528" s="47">
        <f>(J528/60)*VLOOKUP(C528,Employees!A:J,10,0)*1.5</f>
        <v>0</v>
      </c>
      <c r="L528" s="22">
        <f t="shared" si="270"/>
        <v>0</v>
      </c>
      <c r="M528" s="23">
        <f>(L528/60)*VLOOKUP(C528,Employees!A:J,10,0)*2</f>
        <v>0</v>
      </c>
      <c r="N528" s="24">
        <f t="shared" si="271"/>
        <v>0</v>
      </c>
      <c r="O528" s="25">
        <f>(N528/60)*VLOOKUP(C528,Employees!A:J,10,0)</f>
        <v>0</v>
      </c>
      <c r="P528" s="23">
        <f>IF(G528="غياب",VLOOKUP(C528,Employees!$A$3:$J$36,9,FALSE()),0)</f>
        <v>0</v>
      </c>
    </row>
    <row r="529" spans="1:16" ht="15" customHeight="1">
      <c r="A529" s="17" t="s">
        <v>92</v>
      </c>
      <c r="B529" s="19" t="s">
        <v>71</v>
      </c>
      <c r="C529" s="19" t="s">
        <v>38</v>
      </c>
      <c r="D529" s="19" t="str">
        <f>VLOOKUP(C529,Employees!A:J,2,0)</f>
        <v>محمد سمير</v>
      </c>
      <c r="E529" s="20">
        <v>0.41666666666666702</v>
      </c>
      <c r="F529" s="20">
        <v>0.91666666666666696</v>
      </c>
      <c r="G529" s="21" t="s">
        <v>69</v>
      </c>
      <c r="H529" s="20">
        <f t="shared" si="268"/>
        <v>0.41666666666666702</v>
      </c>
      <c r="I529" s="20">
        <v>0.93611111111111112</v>
      </c>
      <c r="J529" s="22">
        <f t="shared" si="269"/>
        <v>0</v>
      </c>
      <c r="K529" s="47">
        <f>(J529/60)*VLOOKUP(C529,Employees!A:J,10,0)*1.5</f>
        <v>0</v>
      </c>
      <c r="L529" s="22">
        <f t="shared" si="270"/>
        <v>0</v>
      </c>
      <c r="M529" s="23">
        <f>(L529/60)*VLOOKUP(C529,Employees!A:J,10,0)*2</f>
        <v>0</v>
      </c>
      <c r="N529" s="24">
        <f t="shared" si="271"/>
        <v>27.999999999999581</v>
      </c>
      <c r="O529" s="25">
        <f>(N529/60)*VLOOKUP(C529,Employees!A:J,10,0)</f>
        <v>12.962962962962768</v>
      </c>
      <c r="P529" s="23">
        <f>IF(G529="غياب",VLOOKUP(C529,Employees!$A$3:$J$36,9,FALSE()),0)</f>
        <v>0</v>
      </c>
    </row>
    <row r="530" spans="1:16" ht="15" customHeight="1">
      <c r="A530" s="17" t="s">
        <v>93</v>
      </c>
      <c r="B530" s="19" t="s">
        <v>73</v>
      </c>
      <c r="C530" s="19" t="s">
        <v>38</v>
      </c>
      <c r="D530" s="19" t="str">
        <f>VLOOKUP(C530,Employees!A:J,2,0)</f>
        <v>محمد سمير</v>
      </c>
      <c r="E530" s="20">
        <v>0.41666666666666702</v>
      </c>
      <c r="F530" s="20">
        <v>0.91666666666666696</v>
      </c>
      <c r="G530" s="21" t="s">
        <v>69</v>
      </c>
      <c r="H530" s="20">
        <f t="shared" si="268"/>
        <v>0.41666666666666702</v>
      </c>
      <c r="I530" s="20">
        <v>0.91666666666666663</v>
      </c>
      <c r="J530" s="22">
        <f t="shared" si="269"/>
        <v>0</v>
      </c>
      <c r="K530" s="47">
        <f>(J530/60)*VLOOKUP(C530,Employees!A:J,10,0)*1.5</f>
        <v>0</v>
      </c>
      <c r="L530" s="22">
        <f t="shared" si="270"/>
        <v>0</v>
      </c>
      <c r="M530" s="23">
        <f>(L530/60)*VLOOKUP(C530,Employees!A:J,10,0)*2</f>
        <v>0</v>
      </c>
      <c r="N530" s="24">
        <f t="shared" si="271"/>
        <v>0</v>
      </c>
      <c r="O530" s="25">
        <f>(N530/60)*VLOOKUP(C530,Employees!A:J,10,0)</f>
        <v>0</v>
      </c>
      <c r="P530" s="23">
        <f>IF(G530="غياب",VLOOKUP(C530,Employees!$A$3:$J$36,9,FALSE()),0)</f>
        <v>0</v>
      </c>
    </row>
    <row r="531" spans="1:16" ht="15" customHeight="1">
      <c r="A531" s="17" t="s">
        <v>94</v>
      </c>
      <c r="B531" s="19" t="s">
        <v>75</v>
      </c>
      <c r="C531" s="19" t="s">
        <v>38</v>
      </c>
      <c r="D531" s="19" t="str">
        <f>VLOOKUP(C531,Employees!A:J,2,0)</f>
        <v>محمد سمير</v>
      </c>
      <c r="E531" s="20">
        <v>0.41666666666666702</v>
      </c>
      <c r="F531" s="20">
        <v>0.91666666666666696</v>
      </c>
      <c r="G531" s="21" t="s">
        <v>69</v>
      </c>
      <c r="H531" s="20">
        <f t="shared" si="268"/>
        <v>0.41666666666666702</v>
      </c>
      <c r="I531" s="20">
        <v>1.0173611111111112</v>
      </c>
      <c r="J531" s="22">
        <f t="shared" si="269"/>
        <v>0</v>
      </c>
      <c r="K531" s="47">
        <f>(J531/60)*VLOOKUP(C531,Employees!A:J,10,0)*1.5</f>
        <v>0</v>
      </c>
      <c r="L531" s="22">
        <f t="shared" si="270"/>
        <v>0</v>
      </c>
      <c r="M531" s="23">
        <f>(L531/60)*VLOOKUP(C531,Employees!A:J,10,0)*2</f>
        <v>0</v>
      </c>
      <c r="N531" s="24">
        <f t="shared" si="271"/>
        <v>144.99999999999966</v>
      </c>
      <c r="O531" s="25">
        <f>(N531/60)*VLOOKUP(C531,Employees!A:J,10,0)</f>
        <v>67.129629629629477</v>
      </c>
      <c r="P531" s="23">
        <f>IF(G531="غياب",VLOOKUP(C531,Employees!$A$3:$J$36,9,FALSE()),0)</f>
        <v>0</v>
      </c>
    </row>
    <row r="532" spans="1:16" ht="15" customHeight="1">
      <c r="A532" s="26" t="s">
        <v>95</v>
      </c>
      <c r="B532" s="28" t="s">
        <v>77</v>
      </c>
      <c r="C532" s="28" t="s">
        <v>38</v>
      </c>
      <c r="D532" s="28" t="str">
        <f>VLOOKUP(C532,Employees!A:J,2,0)</f>
        <v>محمد سمير</v>
      </c>
      <c r="E532" s="29" t="s">
        <v>78</v>
      </c>
      <c r="F532" s="29" t="s">
        <v>78</v>
      </c>
      <c r="G532" s="27" t="s">
        <v>79</v>
      </c>
      <c r="H532" s="29" t="s">
        <v>78</v>
      </c>
      <c r="I532" s="29" t="s">
        <v>78</v>
      </c>
      <c r="J532" s="22" t="s">
        <v>78</v>
      </c>
      <c r="K532" s="47" t="s">
        <v>78</v>
      </c>
      <c r="L532" s="22" t="s">
        <v>78</v>
      </c>
      <c r="M532" s="23" t="s">
        <v>78</v>
      </c>
      <c r="N532" s="24" t="s">
        <v>78</v>
      </c>
      <c r="O532" s="24" t="s">
        <v>78</v>
      </c>
      <c r="P532" s="23">
        <f>IF(G532="غياب",VLOOKUP(C532,Employees!$A$3:$J$36,9,FALSE()),0)</f>
        <v>0</v>
      </c>
    </row>
    <row r="533" spans="1:16" ht="15" customHeight="1">
      <c r="A533" s="17" t="s">
        <v>96</v>
      </c>
      <c r="B533" s="19" t="s">
        <v>81</v>
      </c>
      <c r="C533" s="19" t="s">
        <v>38</v>
      </c>
      <c r="D533" s="19" t="str">
        <f>VLOOKUP(C533,Employees!A:J,2,0)</f>
        <v>محمد سمير</v>
      </c>
      <c r="E533" s="20">
        <v>0.41666666666666702</v>
      </c>
      <c r="F533" s="20">
        <v>0.91666666666666696</v>
      </c>
      <c r="G533" s="21" t="s">
        <v>69</v>
      </c>
      <c r="H533" s="20">
        <f t="shared" ref="H533:H538" si="272">E533</f>
        <v>0.41666666666666702</v>
      </c>
      <c r="I533" s="20">
        <v>0.9194444444444444</v>
      </c>
      <c r="J533" s="22">
        <f t="shared" ref="J533:J538" si="273">IF(OR(H533="",G533="غياب",G533="إجازة أسبوعية"),0,
IF(H533&gt;=E533-TIME(0,20,0),0,
IF(H533&gt;=E533-TIME(0,30,0),30,(E533-H533)*1440)))</f>
        <v>0</v>
      </c>
      <c r="K533" s="47">
        <f>(J533/60)*VLOOKUP(C533,Employees!A:J,10,0)*1.5</f>
        <v>0</v>
      </c>
      <c r="L533" s="22">
        <f t="shared" ref="L533:L538" si="274">IF(OR(H533="",G533="غياب",G533="إجازة أسبوعية"),0,
IF(H533&lt;=E533+TIME(0,30,0),0,
30+((H533-(E533+TIME(0,30,0)))*1440)))</f>
        <v>0</v>
      </c>
      <c r="M533" s="23">
        <f>(L533/60)*VLOOKUP(C533,Employees!A:J,10,0)*2</f>
        <v>0</v>
      </c>
      <c r="N533" s="24">
        <f t="shared" ref="N533:N538" si="275">IF(OR(I533="",G533="غياب",G533="إجازة أسبوعية",I533&lt;=F533),0,
IF(MOD(I533-F533,1)&lt;=TIME(0,25,0),0,MAX(0,(I533-F533)*1440)))</f>
        <v>0</v>
      </c>
      <c r="O533" s="25">
        <f>(N533/60)*VLOOKUP(C533,Employees!A:J,10,0)</f>
        <v>0</v>
      </c>
      <c r="P533" s="23">
        <f>IF(G533="غياب",VLOOKUP(C533,Employees!$A$3:$J$36,9,FALSE()),0)</f>
        <v>0</v>
      </c>
    </row>
    <row r="534" spans="1:16" ht="15" customHeight="1">
      <c r="A534" s="17" t="s">
        <v>97</v>
      </c>
      <c r="B534" s="19" t="s">
        <v>83</v>
      </c>
      <c r="C534" s="19" t="s">
        <v>38</v>
      </c>
      <c r="D534" s="19" t="str">
        <f>VLOOKUP(C534,Employees!A:J,2,0)</f>
        <v>محمد سمير</v>
      </c>
      <c r="E534" s="20">
        <v>0.41666666666666702</v>
      </c>
      <c r="F534" s="20">
        <v>0.91666666666666696</v>
      </c>
      <c r="G534" s="21" t="s">
        <v>69</v>
      </c>
      <c r="H534" s="20">
        <f t="shared" si="272"/>
        <v>0.41666666666666702</v>
      </c>
      <c r="I534" s="20">
        <v>0.95625000000000004</v>
      </c>
      <c r="J534" s="22">
        <f t="shared" si="273"/>
        <v>0</v>
      </c>
      <c r="K534" s="47">
        <f>(J534/60)*VLOOKUP(C534,Employees!A:J,10,0)*1.5</f>
        <v>0</v>
      </c>
      <c r="L534" s="22">
        <f t="shared" si="274"/>
        <v>0</v>
      </c>
      <c r="M534" s="23">
        <f>(L534/60)*VLOOKUP(C534,Employees!A:J,10,0)*2</f>
        <v>0</v>
      </c>
      <c r="N534" s="24">
        <f t="shared" si="275"/>
        <v>56.999999999999638</v>
      </c>
      <c r="O534" s="25">
        <f>(N534/60)*VLOOKUP(C534,Employees!A:J,10,0)</f>
        <v>26.388888888888719</v>
      </c>
      <c r="P534" s="23">
        <f>IF(G534="غياب",VLOOKUP(C534,Employees!$A$3:$J$36,9,FALSE()),0)</f>
        <v>0</v>
      </c>
    </row>
    <row r="535" spans="1:16" ht="15" customHeight="1">
      <c r="A535" s="17" t="s">
        <v>98</v>
      </c>
      <c r="B535" s="19" t="s">
        <v>68</v>
      </c>
      <c r="C535" s="19" t="s">
        <v>38</v>
      </c>
      <c r="D535" s="19" t="str">
        <f>VLOOKUP(C535,Employees!A:J,2,0)</f>
        <v>محمد سمير</v>
      </c>
      <c r="E535" s="20">
        <v>0.41666666666666702</v>
      </c>
      <c r="F535" s="20">
        <v>0.91666666666666696</v>
      </c>
      <c r="G535" s="21" t="s">
        <v>69</v>
      </c>
      <c r="H535" s="20">
        <f t="shared" si="272"/>
        <v>0.41666666666666702</v>
      </c>
      <c r="I535" s="20">
        <v>0.93819444444444444</v>
      </c>
      <c r="J535" s="22">
        <f t="shared" si="273"/>
        <v>0</v>
      </c>
      <c r="K535" s="47">
        <f>(J535/60)*VLOOKUP(C535,Employees!A:J,10,0)*1.5</f>
        <v>0</v>
      </c>
      <c r="L535" s="22">
        <f t="shared" si="274"/>
        <v>0</v>
      </c>
      <c r="M535" s="23">
        <f>(L535/60)*VLOOKUP(C535,Employees!A:J,10,0)*2</f>
        <v>0</v>
      </c>
      <c r="N535" s="24">
        <f t="shared" si="275"/>
        <v>30.99999999999957</v>
      </c>
      <c r="O535" s="25">
        <f>(N535/60)*VLOOKUP(C535,Employees!A:J,10,0)</f>
        <v>14.351851851851652</v>
      </c>
      <c r="P535" s="23">
        <f>IF(G535="غياب",VLOOKUP(C535,Employees!$A$3:$J$36,9,FALSE()),0)</f>
        <v>0</v>
      </c>
    </row>
    <row r="536" spans="1:16" ht="15" customHeight="1">
      <c r="A536" s="17" t="s">
        <v>99</v>
      </c>
      <c r="B536" s="19" t="s">
        <v>71</v>
      </c>
      <c r="C536" s="19" t="s">
        <v>38</v>
      </c>
      <c r="D536" s="19" t="str">
        <f>VLOOKUP(C536,Employees!A:J,2,0)</f>
        <v>محمد سمير</v>
      </c>
      <c r="E536" s="20">
        <v>0.41666666666666702</v>
      </c>
      <c r="F536" s="20">
        <v>0.91666666666666696</v>
      </c>
      <c r="G536" s="21" t="s">
        <v>69</v>
      </c>
      <c r="H536" s="20">
        <f t="shared" si="272"/>
        <v>0.41666666666666702</v>
      </c>
      <c r="I536" s="20">
        <v>0.95902777777777781</v>
      </c>
      <c r="J536" s="22">
        <f t="shared" si="273"/>
        <v>0</v>
      </c>
      <c r="K536" s="47">
        <f>(J536/60)*VLOOKUP(C536,Employees!A:J,10,0)*1.5</f>
        <v>0</v>
      </c>
      <c r="L536" s="22">
        <f t="shared" si="274"/>
        <v>0</v>
      </c>
      <c r="M536" s="23">
        <f>(L536/60)*VLOOKUP(C536,Employees!A:J,10,0)*2</f>
        <v>0</v>
      </c>
      <c r="N536" s="24">
        <f t="shared" si="275"/>
        <v>60.999999999999623</v>
      </c>
      <c r="O536" s="25">
        <f>(N536/60)*VLOOKUP(C536,Employees!A:J,10,0)</f>
        <v>28.240740740740563</v>
      </c>
      <c r="P536" s="23">
        <f>IF(G536="غياب",VLOOKUP(C536,Employees!$A$3:$J$36,9,FALSE()),0)</f>
        <v>0</v>
      </c>
    </row>
    <row r="537" spans="1:16" ht="15" customHeight="1">
      <c r="A537" s="17" t="s">
        <v>100</v>
      </c>
      <c r="B537" s="19" t="s">
        <v>73</v>
      </c>
      <c r="C537" s="19" t="s">
        <v>38</v>
      </c>
      <c r="D537" s="19" t="str">
        <f>VLOOKUP(C537,Employees!A:J,2,0)</f>
        <v>محمد سمير</v>
      </c>
      <c r="E537" s="20">
        <v>0.375</v>
      </c>
      <c r="F537" s="20">
        <v>0.875</v>
      </c>
      <c r="G537" s="21" t="s">
        <v>69</v>
      </c>
      <c r="H537" s="20">
        <f t="shared" si="272"/>
        <v>0.375</v>
      </c>
      <c r="I537" s="20">
        <v>0.88263888888888886</v>
      </c>
      <c r="J537" s="22">
        <f t="shared" si="273"/>
        <v>0</v>
      </c>
      <c r="K537" s="47">
        <f>(J537/60)*VLOOKUP(C537,Employees!A:J,10,0)*1.5</f>
        <v>0</v>
      </c>
      <c r="L537" s="22">
        <f t="shared" si="274"/>
        <v>0</v>
      </c>
      <c r="M537" s="23">
        <f>(L537/60)*VLOOKUP(C537,Employees!A:J,10,0)*2</f>
        <v>0</v>
      </c>
      <c r="N537" s="24">
        <f t="shared" si="275"/>
        <v>0</v>
      </c>
      <c r="O537" s="25">
        <f>(N537/60)*VLOOKUP(C537,Employees!A:J,10,0)</f>
        <v>0</v>
      </c>
      <c r="P537" s="23">
        <f>IF(G537="غياب",VLOOKUP(C537,Employees!$A$3:$J$36,9,FALSE()),0)</f>
        <v>0</v>
      </c>
    </row>
    <row r="538" spans="1:16" ht="15" customHeight="1">
      <c r="A538" s="17" t="s">
        <v>101</v>
      </c>
      <c r="B538" s="19" t="s">
        <v>75</v>
      </c>
      <c r="C538" s="19" t="s">
        <v>38</v>
      </c>
      <c r="D538" s="19" t="str">
        <f>VLOOKUP(C538,Employees!A:J,2,0)</f>
        <v>محمد سمير</v>
      </c>
      <c r="E538" s="20">
        <v>0.375</v>
      </c>
      <c r="F538" s="20">
        <v>0.875</v>
      </c>
      <c r="G538" s="21" t="s">
        <v>69</v>
      </c>
      <c r="H538" s="20">
        <f t="shared" si="272"/>
        <v>0.375</v>
      </c>
      <c r="I538" s="20">
        <v>0.91111111111111109</v>
      </c>
      <c r="J538" s="22">
        <f t="shared" si="273"/>
        <v>0</v>
      </c>
      <c r="K538" s="47">
        <f>(J538/60)*VLOOKUP(C538,Employees!A:J,10,0)*1.5</f>
        <v>0</v>
      </c>
      <c r="L538" s="22">
        <f t="shared" si="274"/>
        <v>0</v>
      </c>
      <c r="M538" s="23">
        <f>(L538/60)*VLOOKUP(C538,Employees!A:J,10,0)*2</f>
        <v>0</v>
      </c>
      <c r="N538" s="24">
        <f t="shared" si="275"/>
        <v>51.999999999999972</v>
      </c>
      <c r="O538" s="25">
        <f>(N538/60)*VLOOKUP(C538,Employees!A:J,10,0)</f>
        <v>24.074074074074058</v>
      </c>
      <c r="P538" s="23">
        <f>IF(G538="غياب",VLOOKUP(C538,Employees!$A$3:$J$36,9,FALSE()),0)</f>
        <v>0</v>
      </c>
    </row>
    <row r="539" spans="1:16" ht="15" customHeight="1">
      <c r="A539" s="26" t="s">
        <v>102</v>
      </c>
      <c r="B539" s="28" t="s">
        <v>77</v>
      </c>
      <c r="C539" s="28" t="s">
        <v>38</v>
      </c>
      <c r="D539" s="28" t="str">
        <f>VLOOKUP(C539,Employees!A:J,2,0)</f>
        <v>محمد سمير</v>
      </c>
      <c r="E539" s="29" t="s">
        <v>78</v>
      </c>
      <c r="F539" s="29" t="s">
        <v>78</v>
      </c>
      <c r="G539" s="27" t="s">
        <v>79</v>
      </c>
      <c r="H539" s="29" t="s">
        <v>78</v>
      </c>
      <c r="I539" s="29" t="s">
        <v>78</v>
      </c>
      <c r="J539" s="22" t="s">
        <v>78</v>
      </c>
      <c r="K539" s="47" t="s">
        <v>78</v>
      </c>
      <c r="L539" s="22" t="s">
        <v>78</v>
      </c>
      <c r="M539" s="23" t="s">
        <v>78</v>
      </c>
      <c r="N539" s="24" t="s">
        <v>78</v>
      </c>
      <c r="O539" s="24" t="s">
        <v>78</v>
      </c>
      <c r="P539" s="23">
        <f>IF(G539="غياب",VLOOKUP(C539,Employees!$A$3:$J$36,9,FALSE()),0)</f>
        <v>0</v>
      </c>
    </row>
    <row r="540" spans="1:16" ht="15" customHeight="1">
      <c r="A540" s="17" t="s">
        <v>103</v>
      </c>
      <c r="B540" s="19" t="s">
        <v>81</v>
      </c>
      <c r="C540" s="19" t="s">
        <v>38</v>
      </c>
      <c r="D540" s="19" t="str">
        <f>VLOOKUP(C540,Employees!A:J,2,0)</f>
        <v>محمد سمير</v>
      </c>
      <c r="E540" s="20">
        <v>0.375</v>
      </c>
      <c r="F540" s="20">
        <v>0.875</v>
      </c>
      <c r="G540" s="21" t="s">
        <v>69</v>
      </c>
      <c r="H540" s="20">
        <f t="shared" ref="H540:H547" si="276">E540</f>
        <v>0.375</v>
      </c>
      <c r="I540" s="20">
        <v>0.92777777777777781</v>
      </c>
      <c r="J540" s="22">
        <f t="shared" ref="J540:J547" si="277">IF(OR(H540="",G540="غياب",G540="إجازة أسبوعية"),0,
IF(H540&gt;=E540-TIME(0,20,0),0,
IF(H540&gt;=E540-TIME(0,30,0),30,(E540-H540)*1440)))</f>
        <v>0</v>
      </c>
      <c r="K540" s="47">
        <f>(J540/60)*VLOOKUP(C540,Employees!A:J,10,0)*1.5</f>
        <v>0</v>
      </c>
      <c r="L540" s="22">
        <f t="shared" ref="L540:L547" si="278">IF(OR(H540="",G540="غياب",G540="إجازة أسبوعية"),0,
IF(H540&lt;=E540+TIME(0,30,0),0,
30+((H540-(E540+TIME(0,30,0)))*1440)))</f>
        <v>0</v>
      </c>
      <c r="M540" s="23">
        <f>(L540/60)*VLOOKUP(C540,Employees!A:J,10,0)*2</f>
        <v>0</v>
      </c>
      <c r="N540" s="24">
        <f t="shared" ref="N540:N547" si="279">IF(OR(I540="",G540="غياب",G540="إجازة أسبوعية",I540&lt;=F540),0,
IF(MOD(I540-F540,1)&lt;=TIME(0,25,0),0,MAX(0,(I540-F540)*1440)))</f>
        <v>76.000000000000057</v>
      </c>
      <c r="O540" s="25">
        <f>(N540/60)*VLOOKUP(C540,Employees!A:J,10,0)</f>
        <v>35.185185185185212</v>
      </c>
      <c r="P540" s="23">
        <f>IF(G540="غياب",VLOOKUP(C540,Employees!$A$3:$J$36,9,FALSE()),0)</f>
        <v>0</v>
      </c>
    </row>
    <row r="541" spans="1:16" ht="15" customHeight="1">
      <c r="A541" s="17" t="s">
        <v>104</v>
      </c>
      <c r="B541" s="19" t="s">
        <v>83</v>
      </c>
      <c r="C541" s="19" t="s">
        <v>38</v>
      </c>
      <c r="D541" s="19" t="str">
        <f>VLOOKUP(C541,Employees!A:J,2,0)</f>
        <v>محمد سمير</v>
      </c>
      <c r="E541" s="20">
        <v>0.375</v>
      </c>
      <c r="F541" s="20">
        <v>0.875</v>
      </c>
      <c r="G541" s="21" t="s">
        <v>69</v>
      </c>
      <c r="H541" s="20">
        <f t="shared" si="276"/>
        <v>0.375</v>
      </c>
      <c r="I541" s="20">
        <v>0.91736111111111107</v>
      </c>
      <c r="J541" s="22">
        <f t="shared" si="277"/>
        <v>0</v>
      </c>
      <c r="K541" s="47">
        <f>(J541/60)*VLOOKUP(C541,Employees!A:J,10,0)*1.5</f>
        <v>0</v>
      </c>
      <c r="L541" s="22">
        <f t="shared" si="278"/>
        <v>0</v>
      </c>
      <c r="M541" s="23">
        <f>(L541/60)*VLOOKUP(C541,Employees!A:J,10,0)*2</f>
        <v>0</v>
      </c>
      <c r="N541" s="24">
        <f t="shared" si="279"/>
        <v>60.999999999999943</v>
      </c>
      <c r="O541" s="25">
        <f>(N541/60)*VLOOKUP(C541,Employees!A:J,10,0)</f>
        <v>28.240740740740712</v>
      </c>
      <c r="P541" s="23">
        <f>IF(G541="غياب",VLOOKUP(C541,Employees!$A$3:$J$36,9,FALSE()),0)</f>
        <v>0</v>
      </c>
    </row>
    <row r="542" spans="1:16" ht="15" customHeight="1">
      <c r="A542" s="17" t="s">
        <v>105</v>
      </c>
      <c r="B542" s="19" t="s">
        <v>68</v>
      </c>
      <c r="C542" s="19" t="s">
        <v>38</v>
      </c>
      <c r="D542" s="19" t="str">
        <f>VLOOKUP(C542,Employees!A:J,2,0)</f>
        <v>محمد سمير</v>
      </c>
      <c r="E542" s="20">
        <v>0.375</v>
      </c>
      <c r="F542" s="20">
        <v>0.875</v>
      </c>
      <c r="G542" s="21" t="s">
        <v>69</v>
      </c>
      <c r="H542" s="20">
        <f t="shared" si="276"/>
        <v>0.375</v>
      </c>
      <c r="I542" s="20">
        <v>0.91597222222222219</v>
      </c>
      <c r="J542" s="22">
        <f t="shared" si="277"/>
        <v>0</v>
      </c>
      <c r="K542" s="47">
        <f>(J542/60)*VLOOKUP(C542,Employees!A:J,10,0)*1.5</f>
        <v>0</v>
      </c>
      <c r="L542" s="22">
        <f t="shared" si="278"/>
        <v>0</v>
      </c>
      <c r="M542" s="23">
        <f>(L542/60)*VLOOKUP(C542,Employees!A:J,10,0)*2</f>
        <v>0</v>
      </c>
      <c r="N542" s="24">
        <f t="shared" si="279"/>
        <v>58.99999999999995</v>
      </c>
      <c r="O542" s="25">
        <f>(N542/60)*VLOOKUP(C542,Employees!A:J,10,0)</f>
        <v>27.314814814814788</v>
      </c>
      <c r="P542" s="23">
        <f>IF(G542="غياب",VLOOKUP(C542,Employees!$A$3:$J$36,9,FALSE()),0)</f>
        <v>0</v>
      </c>
    </row>
    <row r="543" spans="1:16" ht="15" customHeight="1">
      <c r="A543" s="17" t="s">
        <v>106</v>
      </c>
      <c r="B543" s="19" t="s">
        <v>71</v>
      </c>
      <c r="C543" s="19" t="s">
        <v>38</v>
      </c>
      <c r="D543" s="19" t="str">
        <f>VLOOKUP(C543,Employees!A:J,2,0)</f>
        <v>محمد سمير</v>
      </c>
      <c r="E543" s="20">
        <v>0.375</v>
      </c>
      <c r="F543" s="20">
        <v>0.875</v>
      </c>
      <c r="G543" s="21" t="s">
        <v>69</v>
      </c>
      <c r="H543" s="20">
        <f t="shared" si="276"/>
        <v>0.375</v>
      </c>
      <c r="I543" s="20">
        <v>0.88263888888888886</v>
      </c>
      <c r="J543" s="22">
        <f t="shared" si="277"/>
        <v>0</v>
      </c>
      <c r="K543" s="47">
        <f>(J543/60)*VLOOKUP(C543,Employees!A:J,10,0)*1.5</f>
        <v>0</v>
      </c>
      <c r="L543" s="22">
        <f t="shared" si="278"/>
        <v>0</v>
      </c>
      <c r="M543" s="23">
        <f>(L543/60)*VLOOKUP(C543,Employees!A:J,10,0)*2</f>
        <v>0</v>
      </c>
      <c r="N543" s="24">
        <f t="shared" si="279"/>
        <v>0</v>
      </c>
      <c r="O543" s="25">
        <f>(N543/60)*VLOOKUP(C543,Employees!A:J,10,0)</f>
        <v>0</v>
      </c>
      <c r="P543" s="23">
        <f>IF(G543="غياب",VLOOKUP(C543,Employees!$A$3:$J$36,9,FALSE()),0)</f>
        <v>0</v>
      </c>
    </row>
    <row r="544" spans="1:16" ht="15" customHeight="1">
      <c r="A544" s="17" t="s">
        <v>67</v>
      </c>
      <c r="B544" s="19" t="s">
        <v>68</v>
      </c>
      <c r="C544" s="19" t="s">
        <v>39</v>
      </c>
      <c r="D544" s="19" t="str">
        <f>VLOOKUP(C544,Employees!A:J,2,0)</f>
        <v>احمد سمير</v>
      </c>
      <c r="E544" s="20">
        <v>0.375</v>
      </c>
      <c r="F544" s="20">
        <v>0.875</v>
      </c>
      <c r="G544" s="21" t="s">
        <v>69</v>
      </c>
      <c r="H544" s="20">
        <f t="shared" si="276"/>
        <v>0.375</v>
      </c>
      <c r="I544" s="20">
        <f>F544</f>
        <v>0.875</v>
      </c>
      <c r="J544" s="22">
        <f t="shared" si="277"/>
        <v>0</v>
      </c>
      <c r="K544" s="47">
        <f>(J544/60)*VLOOKUP(C544,Employees!A:J,10,0)*1.5</f>
        <v>0</v>
      </c>
      <c r="L544" s="22">
        <f t="shared" si="278"/>
        <v>0</v>
      </c>
      <c r="M544" s="23">
        <f>(L544/60)*VLOOKUP(C544,Employees!A:J,10,0)*2</f>
        <v>0</v>
      </c>
      <c r="N544" s="24">
        <f t="shared" si="279"/>
        <v>0</v>
      </c>
      <c r="O544" s="25">
        <f>(N544/60)*VLOOKUP(C544,Employees!A:J,10,0)</f>
        <v>0</v>
      </c>
      <c r="P544" s="23">
        <f>IF(G544="غياب",VLOOKUP(C544,Employees!$A$3:$J$36,9,FALSE()),0)</f>
        <v>0</v>
      </c>
    </row>
    <row r="545" spans="1:16" ht="15" customHeight="1">
      <c r="A545" s="17" t="s">
        <v>70</v>
      </c>
      <c r="B545" s="19" t="s">
        <v>71</v>
      </c>
      <c r="C545" s="19" t="s">
        <v>39</v>
      </c>
      <c r="D545" s="19" t="str">
        <f>VLOOKUP(C545,Employees!A:J,2,0)</f>
        <v>احمد سمير</v>
      </c>
      <c r="E545" s="20">
        <v>0.375</v>
      </c>
      <c r="F545" s="20">
        <v>0.875</v>
      </c>
      <c r="G545" s="21" t="s">
        <v>69</v>
      </c>
      <c r="H545" s="20">
        <f t="shared" si="276"/>
        <v>0.375</v>
      </c>
      <c r="I545" s="20">
        <f>F545</f>
        <v>0.875</v>
      </c>
      <c r="J545" s="22">
        <f t="shared" si="277"/>
        <v>0</v>
      </c>
      <c r="K545" s="47">
        <f>(J545/60)*VLOOKUP(C545,Employees!A:J,10,0)*1.5</f>
        <v>0</v>
      </c>
      <c r="L545" s="22">
        <f t="shared" si="278"/>
        <v>0</v>
      </c>
      <c r="M545" s="23">
        <f>(L545/60)*VLOOKUP(C545,Employees!A:J,10,0)*2</f>
        <v>0</v>
      </c>
      <c r="N545" s="24">
        <f t="shared" si="279"/>
        <v>0</v>
      </c>
      <c r="O545" s="25">
        <f>(N545/60)*VLOOKUP(C545,Employees!A:J,10,0)</f>
        <v>0</v>
      </c>
      <c r="P545" s="23">
        <f>IF(G545="غياب",VLOOKUP(C545,Employees!$A$3:$J$36,9,FALSE()),0)</f>
        <v>0</v>
      </c>
    </row>
    <row r="546" spans="1:16" ht="15" customHeight="1">
      <c r="A546" s="17" t="s">
        <v>72</v>
      </c>
      <c r="B546" s="19" t="s">
        <v>73</v>
      </c>
      <c r="C546" s="19" t="s">
        <v>39</v>
      </c>
      <c r="D546" s="19" t="str">
        <f>VLOOKUP(C546,Employees!A:J,2,0)</f>
        <v>احمد سمير</v>
      </c>
      <c r="E546" s="20">
        <v>0.375</v>
      </c>
      <c r="F546" s="20">
        <v>0.875</v>
      </c>
      <c r="G546" s="21" t="s">
        <v>69</v>
      </c>
      <c r="H546" s="20">
        <f t="shared" si="276"/>
        <v>0.375</v>
      </c>
      <c r="I546" s="20">
        <f>F546</f>
        <v>0.875</v>
      </c>
      <c r="J546" s="22">
        <f t="shared" si="277"/>
        <v>0</v>
      </c>
      <c r="K546" s="47">
        <f>(J546/60)*VLOOKUP(C546,Employees!A:J,10,0)*1.5</f>
        <v>0</v>
      </c>
      <c r="L546" s="22">
        <f t="shared" si="278"/>
        <v>0</v>
      </c>
      <c r="M546" s="23">
        <f>(L546/60)*VLOOKUP(C546,Employees!A:J,10,0)*2</f>
        <v>0</v>
      </c>
      <c r="N546" s="24">
        <f t="shared" si="279"/>
        <v>0</v>
      </c>
      <c r="O546" s="25">
        <f>(N546/60)*VLOOKUP(C546,Employees!A:J,10,0)</f>
        <v>0</v>
      </c>
      <c r="P546" s="23">
        <f>IF(G546="غياب",VLOOKUP(C546,Employees!$A$3:$J$36,9,FALSE()),0)</f>
        <v>0</v>
      </c>
    </row>
    <row r="547" spans="1:16" ht="15" customHeight="1">
      <c r="A547" s="17" t="s">
        <v>74</v>
      </c>
      <c r="B547" s="19" t="s">
        <v>75</v>
      </c>
      <c r="C547" s="19" t="s">
        <v>39</v>
      </c>
      <c r="D547" s="19" t="str">
        <f>VLOOKUP(C547,Employees!A:J,2,0)</f>
        <v>احمد سمير</v>
      </c>
      <c r="E547" s="20">
        <v>0.375</v>
      </c>
      <c r="F547" s="20">
        <v>0.875</v>
      </c>
      <c r="G547" s="21" t="s">
        <v>69</v>
      </c>
      <c r="H547" s="20">
        <f t="shared" si="276"/>
        <v>0.375</v>
      </c>
      <c r="I547" s="20">
        <f>F547</f>
        <v>0.875</v>
      </c>
      <c r="J547" s="22">
        <f t="shared" si="277"/>
        <v>0</v>
      </c>
      <c r="K547" s="47">
        <f>(J547/60)*VLOOKUP(C547,Employees!A:J,10,0)*1.5</f>
        <v>0</v>
      </c>
      <c r="L547" s="22">
        <f t="shared" si="278"/>
        <v>0</v>
      </c>
      <c r="M547" s="23">
        <f>(L547/60)*VLOOKUP(C547,Employees!A:J,10,0)*2</f>
        <v>0</v>
      </c>
      <c r="N547" s="24">
        <f t="shared" si="279"/>
        <v>0</v>
      </c>
      <c r="O547" s="25">
        <f>(N547/60)*VLOOKUP(C547,Employees!A:J,10,0)</f>
        <v>0</v>
      </c>
      <c r="P547" s="23">
        <f>IF(G547="غياب",VLOOKUP(C547,Employees!$A$3:$J$36,9,FALSE()),0)</f>
        <v>0</v>
      </c>
    </row>
    <row r="548" spans="1:16" ht="15" customHeight="1">
      <c r="A548" s="26" t="s">
        <v>76</v>
      </c>
      <c r="B548" s="28" t="s">
        <v>77</v>
      </c>
      <c r="C548" s="28" t="s">
        <v>39</v>
      </c>
      <c r="D548" s="28" t="str">
        <f>VLOOKUP(C548,Employees!A:J,2,0)</f>
        <v>احمد سمير</v>
      </c>
      <c r="E548" s="29" t="s">
        <v>78</v>
      </c>
      <c r="F548" s="29" t="s">
        <v>78</v>
      </c>
      <c r="G548" s="27" t="s">
        <v>79</v>
      </c>
      <c r="H548" s="29" t="s">
        <v>78</v>
      </c>
      <c r="I548" s="29" t="s">
        <v>78</v>
      </c>
      <c r="J548" s="22" t="s">
        <v>78</v>
      </c>
      <c r="K548" s="47" t="s">
        <v>78</v>
      </c>
      <c r="L548" s="22" t="s">
        <v>78</v>
      </c>
      <c r="M548" s="23" t="s">
        <v>78</v>
      </c>
      <c r="N548" s="24" t="s">
        <v>78</v>
      </c>
      <c r="O548" s="24" t="s">
        <v>78</v>
      </c>
      <c r="P548" s="23">
        <f>IF(G548="غياب",VLOOKUP(C548,Employees!$A$3:$J$36,9,FALSE()),0)</f>
        <v>0</v>
      </c>
    </row>
    <row r="549" spans="1:16" ht="15" customHeight="1">
      <c r="A549" s="17" t="s">
        <v>80</v>
      </c>
      <c r="B549" s="19" t="s">
        <v>81</v>
      </c>
      <c r="C549" s="19" t="s">
        <v>39</v>
      </c>
      <c r="D549" s="19" t="str">
        <f>VLOOKUP(C549,Employees!A:J,2,0)</f>
        <v>احمد سمير</v>
      </c>
      <c r="E549" s="20">
        <v>0.375</v>
      </c>
      <c r="F549" s="20">
        <v>0.875</v>
      </c>
      <c r="G549" s="21" t="s">
        <v>69</v>
      </c>
      <c r="H549" s="20">
        <f t="shared" ref="H549:H554" si="280">E549</f>
        <v>0.375</v>
      </c>
      <c r="I549" s="20">
        <f>F549</f>
        <v>0.875</v>
      </c>
      <c r="J549" s="22">
        <f t="shared" ref="J549:J554" si="281">IF(OR(H549="",G549="غياب",G549="إجازة أسبوعية"),0,
IF(H549&gt;=E549-TIME(0,20,0),0,
IF(H549&gt;=E549-TIME(0,30,0),30,(E549-H549)*1440)))</f>
        <v>0</v>
      </c>
      <c r="K549" s="47">
        <f>(J549/60)*VLOOKUP(C549,Employees!A:J,10,0)*1.5</f>
        <v>0</v>
      </c>
      <c r="L549" s="22">
        <f t="shared" ref="L549:L554" si="282">IF(OR(H549="",G549="غياب",G549="إجازة أسبوعية"),0,
IF(H549&lt;=E549+TIME(0,30,0),0,
30+((H549-(E549+TIME(0,30,0)))*1440)))</f>
        <v>0</v>
      </c>
      <c r="M549" s="23">
        <f>(L549/60)*VLOOKUP(C549,Employees!A:J,10,0)*2</f>
        <v>0</v>
      </c>
      <c r="N549" s="24">
        <f t="shared" ref="N549:N554" si="283">IF(OR(I549="",G549="غياب",G549="إجازة أسبوعية",I549&lt;=F549),0,
IF(MOD(I549-F549,1)&lt;=TIME(0,25,0),0,MAX(0,(I549-F549)*1440)))</f>
        <v>0</v>
      </c>
      <c r="O549" s="25">
        <f>(N549/60)*VLOOKUP(C549,Employees!A:J,10,0)</f>
        <v>0</v>
      </c>
      <c r="P549" s="23">
        <f>IF(G549="غياب",VLOOKUP(C549,Employees!$A$3:$J$36,9,FALSE()),0)</f>
        <v>0</v>
      </c>
    </row>
    <row r="550" spans="1:16" ht="15" customHeight="1">
      <c r="A550" s="17" t="s">
        <v>82</v>
      </c>
      <c r="B550" s="19" t="s">
        <v>83</v>
      </c>
      <c r="C550" s="19" t="s">
        <v>39</v>
      </c>
      <c r="D550" s="19" t="str">
        <f>VLOOKUP(C550,Employees!A:J,2,0)</f>
        <v>احمد سمير</v>
      </c>
      <c r="E550" s="20">
        <v>0.375</v>
      </c>
      <c r="F550" s="20">
        <v>0.875</v>
      </c>
      <c r="G550" s="21" t="s">
        <v>69</v>
      </c>
      <c r="H550" s="20">
        <f t="shared" si="280"/>
        <v>0.375</v>
      </c>
      <c r="I550" s="20">
        <f>F550</f>
        <v>0.875</v>
      </c>
      <c r="J550" s="22">
        <f t="shared" si="281"/>
        <v>0</v>
      </c>
      <c r="K550" s="47">
        <f>(J550/60)*VLOOKUP(C550,Employees!A:J,10,0)*1.5</f>
        <v>0</v>
      </c>
      <c r="L550" s="22">
        <f t="shared" si="282"/>
        <v>0</v>
      </c>
      <c r="M550" s="23">
        <f>(L550/60)*VLOOKUP(C550,Employees!A:J,10,0)*2</f>
        <v>0</v>
      </c>
      <c r="N550" s="24">
        <f t="shared" si="283"/>
        <v>0</v>
      </c>
      <c r="O550" s="25">
        <f>(N550/60)*VLOOKUP(C550,Employees!A:J,10,0)</f>
        <v>0</v>
      </c>
      <c r="P550" s="23">
        <f>IF(G550="غياب",VLOOKUP(C550,Employees!$A$3:$J$36,9,FALSE()),0)</f>
        <v>0</v>
      </c>
    </row>
    <row r="551" spans="1:16" ht="15" customHeight="1">
      <c r="A551" s="17" t="s">
        <v>84</v>
      </c>
      <c r="B551" s="19" t="s">
        <v>68</v>
      </c>
      <c r="C551" s="19" t="s">
        <v>39</v>
      </c>
      <c r="D551" s="19" t="str">
        <f>VLOOKUP(C551,Employees!A:J,2,0)</f>
        <v>احمد سمير</v>
      </c>
      <c r="E551" s="20">
        <v>0.375</v>
      </c>
      <c r="F551" s="20">
        <v>0.875</v>
      </c>
      <c r="G551" s="21" t="s">
        <v>69</v>
      </c>
      <c r="H551" s="20">
        <f t="shared" si="280"/>
        <v>0.375</v>
      </c>
      <c r="I551" s="20">
        <v>0.97222222222222221</v>
      </c>
      <c r="J551" s="22">
        <f t="shared" si="281"/>
        <v>0</v>
      </c>
      <c r="K551" s="47">
        <f>(J551/60)*VLOOKUP(C551,Employees!A:J,10,0)*1.5</f>
        <v>0</v>
      </c>
      <c r="L551" s="22">
        <f t="shared" si="282"/>
        <v>0</v>
      </c>
      <c r="M551" s="23">
        <f>(L551/60)*VLOOKUP(C551,Employees!A:J,10,0)*2</f>
        <v>0</v>
      </c>
      <c r="N551" s="24">
        <f t="shared" si="283"/>
        <v>139.99999999999997</v>
      </c>
      <c r="O551" s="25">
        <f>(N551/60)*VLOOKUP(C551,Employees!A:J,10,0)</f>
        <v>50.411522633744845</v>
      </c>
      <c r="P551" s="23">
        <f>IF(G551="غياب",VLOOKUP(C551,Employees!$A$3:$J$36,9,FALSE()),0)</f>
        <v>0</v>
      </c>
    </row>
    <row r="552" spans="1:16" ht="15" customHeight="1">
      <c r="A552" s="17" t="s">
        <v>85</v>
      </c>
      <c r="B552" s="19" t="s">
        <v>71</v>
      </c>
      <c r="C552" s="19" t="s">
        <v>39</v>
      </c>
      <c r="D552" s="19" t="str">
        <f>VLOOKUP(C552,Employees!A:J,2,0)</f>
        <v>احمد سمير</v>
      </c>
      <c r="E552" s="20">
        <v>0.375</v>
      </c>
      <c r="F552" s="20">
        <v>0.875</v>
      </c>
      <c r="G552" s="21" t="s">
        <v>69</v>
      </c>
      <c r="H552" s="20">
        <f t="shared" si="280"/>
        <v>0.375</v>
      </c>
      <c r="I552" s="20">
        <f>F552</f>
        <v>0.875</v>
      </c>
      <c r="J552" s="22">
        <f t="shared" si="281"/>
        <v>0</v>
      </c>
      <c r="K552" s="47">
        <f>(J552/60)*VLOOKUP(C552,Employees!A:J,10,0)*1.5</f>
        <v>0</v>
      </c>
      <c r="L552" s="22">
        <f t="shared" si="282"/>
        <v>0</v>
      </c>
      <c r="M552" s="23">
        <f>(L552/60)*VLOOKUP(C552,Employees!A:J,10,0)*2</f>
        <v>0</v>
      </c>
      <c r="N552" s="24">
        <f t="shared" si="283"/>
        <v>0</v>
      </c>
      <c r="O552" s="25">
        <f>(N552/60)*VLOOKUP(C552,Employees!A:J,10,0)</f>
        <v>0</v>
      </c>
      <c r="P552" s="23">
        <f>IF(G552="غياب",VLOOKUP(C552,Employees!$A$3:$J$36,9,FALSE()),0)</f>
        <v>0</v>
      </c>
    </row>
    <row r="553" spans="1:16" ht="15" customHeight="1">
      <c r="A553" s="17" t="s">
        <v>86</v>
      </c>
      <c r="B553" s="19" t="s">
        <v>73</v>
      </c>
      <c r="C553" s="19" t="s">
        <v>39</v>
      </c>
      <c r="D553" s="19" t="str">
        <f>VLOOKUP(C553,Employees!A:J,2,0)</f>
        <v>احمد سمير</v>
      </c>
      <c r="E553" s="20">
        <v>0.375</v>
      </c>
      <c r="F553" s="20">
        <v>0.875</v>
      </c>
      <c r="G553" s="21" t="s">
        <v>69</v>
      </c>
      <c r="H553" s="20">
        <f t="shared" si="280"/>
        <v>0.375</v>
      </c>
      <c r="I553" s="20">
        <f>F553</f>
        <v>0.875</v>
      </c>
      <c r="J553" s="22">
        <f t="shared" si="281"/>
        <v>0</v>
      </c>
      <c r="K553" s="47">
        <f>(J553/60)*VLOOKUP(C553,Employees!A:J,10,0)*1.5</f>
        <v>0</v>
      </c>
      <c r="L553" s="22">
        <f t="shared" si="282"/>
        <v>0</v>
      </c>
      <c r="M553" s="23">
        <f>(L553/60)*VLOOKUP(C553,Employees!A:J,10,0)*2</f>
        <v>0</v>
      </c>
      <c r="N553" s="24">
        <f t="shared" si="283"/>
        <v>0</v>
      </c>
      <c r="O553" s="25">
        <f>(N553/60)*VLOOKUP(C553,Employees!A:J,10,0)</f>
        <v>0</v>
      </c>
      <c r="P553" s="23">
        <f>IF(G553="غياب",VLOOKUP(C553,Employees!$A$3:$J$36,9,FALSE()),0)</f>
        <v>0</v>
      </c>
    </row>
    <row r="554" spans="1:16" ht="15" customHeight="1">
      <c r="A554" s="17" t="s">
        <v>87</v>
      </c>
      <c r="B554" s="19" t="s">
        <v>75</v>
      </c>
      <c r="C554" s="19" t="s">
        <v>39</v>
      </c>
      <c r="D554" s="19" t="str">
        <f>VLOOKUP(C554,Employees!A:J,2,0)</f>
        <v>احمد سمير</v>
      </c>
      <c r="E554" s="20">
        <v>0.41666666666666702</v>
      </c>
      <c r="F554" s="20">
        <v>0.91666666666666696</v>
      </c>
      <c r="G554" s="21" t="s">
        <v>69</v>
      </c>
      <c r="H554" s="20">
        <f t="shared" si="280"/>
        <v>0.41666666666666702</v>
      </c>
      <c r="I554" s="20">
        <f>F554</f>
        <v>0.91666666666666696</v>
      </c>
      <c r="J554" s="22">
        <f t="shared" si="281"/>
        <v>0</v>
      </c>
      <c r="K554" s="47">
        <f>(J554/60)*VLOOKUP(C554,Employees!A:J,10,0)*1.5</f>
        <v>0</v>
      </c>
      <c r="L554" s="22">
        <f t="shared" si="282"/>
        <v>0</v>
      </c>
      <c r="M554" s="23">
        <f>(L554/60)*VLOOKUP(C554,Employees!A:J,10,0)*2</f>
        <v>0</v>
      </c>
      <c r="N554" s="24">
        <f t="shared" si="283"/>
        <v>0</v>
      </c>
      <c r="O554" s="25">
        <f>(N554/60)*VLOOKUP(C554,Employees!A:J,10,0)</f>
        <v>0</v>
      </c>
      <c r="P554" s="23">
        <f>IF(G554="غياب",VLOOKUP(C554,Employees!$A$3:$J$36,9,FALSE()),0)</f>
        <v>0</v>
      </c>
    </row>
    <row r="555" spans="1:16" ht="15" customHeight="1">
      <c r="A555" s="26" t="s">
        <v>88</v>
      </c>
      <c r="B555" s="28" t="s">
        <v>77</v>
      </c>
      <c r="C555" s="28" t="s">
        <v>39</v>
      </c>
      <c r="D555" s="28" t="str">
        <f>VLOOKUP(C555,Employees!A:J,2,0)</f>
        <v>احمد سمير</v>
      </c>
      <c r="E555" s="29" t="s">
        <v>78</v>
      </c>
      <c r="F555" s="29" t="s">
        <v>78</v>
      </c>
      <c r="G555" s="27" t="s">
        <v>79</v>
      </c>
      <c r="H555" s="29" t="s">
        <v>78</v>
      </c>
      <c r="I555" s="29" t="s">
        <v>78</v>
      </c>
      <c r="J555" s="22" t="s">
        <v>78</v>
      </c>
      <c r="K555" s="47" t="s">
        <v>78</v>
      </c>
      <c r="L555" s="22" t="s">
        <v>78</v>
      </c>
      <c r="M555" s="23" t="s">
        <v>78</v>
      </c>
      <c r="N555" s="24" t="s">
        <v>78</v>
      </c>
      <c r="O555" s="24" t="s">
        <v>78</v>
      </c>
      <c r="P555" s="23">
        <f>IF(G555="غياب",VLOOKUP(C555,Employees!$A$3:$J$36,9,FALSE()),0)</f>
        <v>0</v>
      </c>
    </row>
    <row r="556" spans="1:16" ht="15" customHeight="1">
      <c r="A556" s="26" t="s">
        <v>89</v>
      </c>
      <c r="B556" s="28" t="s">
        <v>81</v>
      </c>
      <c r="C556" s="28" t="s">
        <v>39</v>
      </c>
      <c r="D556" s="28" t="str">
        <f>VLOOKUP(C556,Employees!A:J,2,0)</f>
        <v>احمد سمير</v>
      </c>
      <c r="E556" s="29" t="s">
        <v>78</v>
      </c>
      <c r="F556" s="29" t="s">
        <v>78</v>
      </c>
      <c r="G556" s="27" t="s">
        <v>79</v>
      </c>
      <c r="H556" s="29" t="s">
        <v>78</v>
      </c>
      <c r="I556" s="29" t="s">
        <v>78</v>
      </c>
      <c r="J556" s="22" t="s">
        <v>78</v>
      </c>
      <c r="K556" s="47" t="s">
        <v>78</v>
      </c>
      <c r="L556" s="22" t="s">
        <v>78</v>
      </c>
      <c r="M556" s="23" t="s">
        <v>78</v>
      </c>
      <c r="N556" s="24" t="s">
        <v>78</v>
      </c>
      <c r="O556" s="24" t="s">
        <v>78</v>
      </c>
      <c r="P556" s="23">
        <f>IF(G556="غياب",VLOOKUP(C556,Employees!$A$3:$J$36,9,FALSE()),0)</f>
        <v>0</v>
      </c>
    </row>
    <row r="557" spans="1:16" ht="15" customHeight="1">
      <c r="A557" s="17" t="s">
        <v>90</v>
      </c>
      <c r="B557" s="19" t="s">
        <v>83</v>
      </c>
      <c r="C557" s="19" t="s">
        <v>39</v>
      </c>
      <c r="D557" s="19" t="str">
        <f>VLOOKUP(C557,Employees!A:J,2,0)</f>
        <v>احمد سمير</v>
      </c>
      <c r="E557" s="20">
        <v>0.41666666666666702</v>
      </c>
      <c r="F557" s="20">
        <v>0.91666666666666696</v>
      </c>
      <c r="G557" s="21" t="s">
        <v>69</v>
      </c>
      <c r="H557" s="20">
        <f t="shared" ref="H557:H561" si="284">E557</f>
        <v>0.41666666666666702</v>
      </c>
      <c r="I557" s="20">
        <f>F557</f>
        <v>0.91666666666666696</v>
      </c>
      <c r="J557" s="22">
        <f t="shared" ref="J557:J561" si="285">IF(OR(H557="",G557="غياب",G557="إجازة أسبوعية"),0,
IF(H557&gt;=E557-TIME(0,20,0),0,
IF(H557&gt;=E557-TIME(0,30,0),30,(E557-H557)*1440)))</f>
        <v>0</v>
      </c>
      <c r="K557" s="47">
        <f>(J557/60)*VLOOKUP(C557,Employees!A:J,10,0)*1.5</f>
        <v>0</v>
      </c>
      <c r="L557" s="22">
        <f t="shared" ref="L557:L561" si="286">IF(OR(H557="",G557="غياب",G557="إجازة أسبوعية"),0,
IF(H557&lt;=E557+TIME(0,30,0),0,
30+((H557-(E557+TIME(0,30,0)))*1440)))</f>
        <v>0</v>
      </c>
      <c r="M557" s="23">
        <f>(L557/60)*VLOOKUP(C557,Employees!A:J,10,0)*2</f>
        <v>0</v>
      </c>
      <c r="N557" s="24">
        <f t="shared" ref="N557:N561" si="287">IF(OR(I557="",G557="غياب",G557="إجازة أسبوعية",I557&lt;=F557),0,
IF(MOD(I557-F557,1)&lt;=TIME(0,25,0),0,MAX(0,(I557-F557)*1440)))</f>
        <v>0</v>
      </c>
      <c r="O557" s="25">
        <f>(N557/60)*VLOOKUP(C557,Employees!A:J,10,0)</f>
        <v>0</v>
      </c>
      <c r="P557" s="23">
        <f>IF(G557="غياب",VLOOKUP(C557,Employees!$A$3:$J$36,9,FALSE()),0)</f>
        <v>0</v>
      </c>
    </row>
    <row r="558" spans="1:16" ht="15" customHeight="1">
      <c r="A558" s="17" t="s">
        <v>91</v>
      </c>
      <c r="B558" s="19" t="s">
        <v>68</v>
      </c>
      <c r="C558" s="19" t="s">
        <v>39</v>
      </c>
      <c r="D558" s="19" t="str">
        <f>VLOOKUP(C558,Employees!A:J,2,0)</f>
        <v>احمد سمير</v>
      </c>
      <c r="E558" s="20">
        <v>0.41666666666666702</v>
      </c>
      <c r="F558" s="20">
        <v>0.91666666666666696</v>
      </c>
      <c r="G558" s="21" t="s">
        <v>69</v>
      </c>
      <c r="H558" s="20">
        <f t="shared" si="284"/>
        <v>0.41666666666666702</v>
      </c>
      <c r="I558" s="20">
        <f>F558</f>
        <v>0.91666666666666696</v>
      </c>
      <c r="J558" s="22">
        <f t="shared" si="285"/>
        <v>0</v>
      </c>
      <c r="K558" s="47">
        <f>(J558/60)*VLOOKUP(C558,Employees!A:J,10,0)*1.5</f>
        <v>0</v>
      </c>
      <c r="L558" s="22">
        <f t="shared" si="286"/>
        <v>0</v>
      </c>
      <c r="M558" s="23">
        <f>(L558/60)*VLOOKUP(C558,Employees!A:J,10,0)*2</f>
        <v>0</v>
      </c>
      <c r="N558" s="24">
        <f t="shared" si="287"/>
        <v>0</v>
      </c>
      <c r="O558" s="25">
        <f>(N558/60)*VLOOKUP(C558,Employees!A:J,10,0)</f>
        <v>0</v>
      </c>
      <c r="P558" s="23">
        <f>IF(G558="غياب",VLOOKUP(C558,Employees!$A$3:$J$36,9,FALSE()),0)</f>
        <v>0</v>
      </c>
    </row>
    <row r="559" spans="1:16" ht="15" customHeight="1">
      <c r="A559" s="17" t="s">
        <v>92</v>
      </c>
      <c r="B559" s="19" t="s">
        <v>71</v>
      </c>
      <c r="C559" s="19" t="s">
        <v>39</v>
      </c>
      <c r="D559" s="19" t="str">
        <f>VLOOKUP(C559,Employees!A:J,2,0)</f>
        <v>احمد سمير</v>
      </c>
      <c r="E559" s="20">
        <v>0.41666666666666702</v>
      </c>
      <c r="F559" s="20">
        <v>0.91666666666666696</v>
      </c>
      <c r="G559" s="21" t="s">
        <v>69</v>
      </c>
      <c r="H559" s="20">
        <f t="shared" si="284"/>
        <v>0.41666666666666702</v>
      </c>
      <c r="I559" s="20">
        <v>0.93541666666666667</v>
      </c>
      <c r="J559" s="22">
        <f t="shared" si="285"/>
        <v>0</v>
      </c>
      <c r="K559" s="47">
        <f>(J559/60)*VLOOKUP(C559,Employees!A:J,10,0)*1.5</f>
        <v>0</v>
      </c>
      <c r="L559" s="22">
        <f t="shared" si="286"/>
        <v>0</v>
      </c>
      <c r="M559" s="23">
        <f>(L559/60)*VLOOKUP(C559,Employees!A:J,10,0)*2</f>
        <v>0</v>
      </c>
      <c r="N559" s="24">
        <f t="shared" si="287"/>
        <v>26.999999999999584</v>
      </c>
      <c r="O559" s="25">
        <f>(N559/60)*VLOOKUP(C559,Employees!A:J,10,0)</f>
        <v>9.7222222222220722</v>
      </c>
      <c r="P559" s="23">
        <f>IF(G559="غياب",VLOOKUP(C559,Employees!$A$3:$J$36,9,FALSE()),0)</f>
        <v>0</v>
      </c>
    </row>
    <row r="560" spans="1:16" ht="15" customHeight="1">
      <c r="A560" s="17" t="s">
        <v>93</v>
      </c>
      <c r="B560" s="19" t="s">
        <v>73</v>
      </c>
      <c r="C560" s="19" t="s">
        <v>39</v>
      </c>
      <c r="D560" s="19" t="str">
        <f>VLOOKUP(C560,Employees!A:J,2,0)</f>
        <v>احمد سمير</v>
      </c>
      <c r="E560" s="20">
        <v>0.41666666666666702</v>
      </c>
      <c r="F560" s="20">
        <v>0.91666666666666696</v>
      </c>
      <c r="G560" s="21" t="s">
        <v>69</v>
      </c>
      <c r="H560" s="20">
        <f t="shared" si="284"/>
        <v>0.41666666666666702</v>
      </c>
      <c r="I560" s="20">
        <f>F560</f>
        <v>0.91666666666666696</v>
      </c>
      <c r="J560" s="22">
        <f t="shared" si="285"/>
        <v>0</v>
      </c>
      <c r="K560" s="47">
        <f>(J560/60)*VLOOKUP(C560,Employees!A:J,10,0)*1.5</f>
        <v>0</v>
      </c>
      <c r="L560" s="22">
        <f t="shared" si="286"/>
        <v>0</v>
      </c>
      <c r="M560" s="23">
        <f>(L560/60)*VLOOKUP(C560,Employees!A:J,10,0)*2</f>
        <v>0</v>
      </c>
      <c r="N560" s="24">
        <f t="shared" si="287"/>
        <v>0</v>
      </c>
      <c r="O560" s="25">
        <f>(N560/60)*VLOOKUP(C560,Employees!A:J,10,0)</f>
        <v>0</v>
      </c>
      <c r="P560" s="23">
        <f>IF(G560="غياب",VLOOKUP(C560,Employees!$A$3:$J$36,9,FALSE()),0)</f>
        <v>0</v>
      </c>
    </row>
    <row r="561" spans="1:16" ht="15" customHeight="1">
      <c r="A561" s="17" t="s">
        <v>94</v>
      </c>
      <c r="B561" s="19" t="s">
        <v>75</v>
      </c>
      <c r="C561" s="19" t="s">
        <v>39</v>
      </c>
      <c r="D561" s="19" t="str">
        <f>VLOOKUP(C561,Employees!A:J,2,0)</f>
        <v>احمد سمير</v>
      </c>
      <c r="E561" s="20">
        <v>0.41666666666666702</v>
      </c>
      <c r="F561" s="20">
        <v>0.91666666666666696</v>
      </c>
      <c r="G561" s="21" t="s">
        <v>69</v>
      </c>
      <c r="H561" s="20">
        <f t="shared" si="284"/>
        <v>0.41666666666666702</v>
      </c>
      <c r="I561" s="20">
        <v>1.0173611111111112</v>
      </c>
      <c r="J561" s="22">
        <f t="shared" si="285"/>
        <v>0</v>
      </c>
      <c r="K561" s="47">
        <f>(J561/60)*VLOOKUP(C561,Employees!A:J,10,0)*1.5</f>
        <v>0</v>
      </c>
      <c r="L561" s="22">
        <f t="shared" si="286"/>
        <v>0</v>
      </c>
      <c r="M561" s="23">
        <f>(L561/60)*VLOOKUP(C561,Employees!A:J,10,0)*2</f>
        <v>0</v>
      </c>
      <c r="N561" s="24">
        <f t="shared" si="287"/>
        <v>144.99999999999966</v>
      </c>
      <c r="O561" s="25">
        <f>(N561/60)*VLOOKUP(C561,Employees!A:J,10,0)</f>
        <v>52.211934156378476</v>
      </c>
      <c r="P561" s="23">
        <f>IF(G561="غياب",VLOOKUP(C561,Employees!$A$3:$J$36,9,FALSE()),0)</f>
        <v>0</v>
      </c>
    </row>
    <row r="562" spans="1:16" ht="15" customHeight="1">
      <c r="A562" s="26" t="s">
        <v>95</v>
      </c>
      <c r="B562" s="28" t="s">
        <v>77</v>
      </c>
      <c r="C562" s="28" t="s">
        <v>39</v>
      </c>
      <c r="D562" s="28" t="str">
        <f>VLOOKUP(C562,Employees!A:J,2,0)</f>
        <v>احمد سمير</v>
      </c>
      <c r="E562" s="29" t="s">
        <v>78</v>
      </c>
      <c r="F562" s="29" t="s">
        <v>78</v>
      </c>
      <c r="G562" s="27" t="s">
        <v>79</v>
      </c>
      <c r="H562" s="29" t="s">
        <v>78</v>
      </c>
      <c r="I562" s="29" t="s">
        <v>78</v>
      </c>
      <c r="J562" s="22" t="s">
        <v>78</v>
      </c>
      <c r="K562" s="47" t="s">
        <v>78</v>
      </c>
      <c r="L562" s="22" t="s">
        <v>78</v>
      </c>
      <c r="M562" s="23" t="s">
        <v>78</v>
      </c>
      <c r="N562" s="24" t="s">
        <v>78</v>
      </c>
      <c r="O562" s="24" t="s">
        <v>78</v>
      </c>
      <c r="P562" s="23">
        <f>IF(G562="غياب",VLOOKUP(C562,Employees!$A$3:$J$36,9,FALSE()),0)</f>
        <v>0</v>
      </c>
    </row>
    <row r="563" spans="1:16" ht="15" customHeight="1">
      <c r="A563" s="17" t="s">
        <v>96</v>
      </c>
      <c r="B563" s="19" t="s">
        <v>81</v>
      </c>
      <c r="C563" s="19" t="s">
        <v>39</v>
      </c>
      <c r="D563" s="19" t="str">
        <f>VLOOKUP(C563,Employees!A:J,2,0)</f>
        <v>احمد سمير</v>
      </c>
      <c r="E563" s="20">
        <v>0.41666666666666702</v>
      </c>
      <c r="F563" s="20">
        <v>0.91666666666666696</v>
      </c>
      <c r="G563" s="21" t="s">
        <v>69</v>
      </c>
      <c r="H563" s="20">
        <f t="shared" ref="H563:H568" si="288">E563</f>
        <v>0.41666666666666702</v>
      </c>
      <c r="I563" s="20">
        <v>0.96805555555555556</v>
      </c>
      <c r="J563" s="22">
        <f t="shared" ref="J563:J568" si="289">IF(OR(H563="",G563="غياب",G563="إجازة أسبوعية"),0,
IF(H563&gt;=E563-TIME(0,20,0),0,
IF(H563&gt;=E563-TIME(0,30,0),30,(E563-H563)*1440)))</f>
        <v>0</v>
      </c>
      <c r="K563" s="47">
        <f>(J563/60)*VLOOKUP(C563,Employees!A:J,10,0)*1.5</f>
        <v>0</v>
      </c>
      <c r="L563" s="22">
        <f t="shared" ref="L563:L568" si="290">IF(OR(H563="",G563="غياب",G563="إجازة أسبوعية"),0,
IF(H563&lt;=E563+TIME(0,30,0),0,
30+((H563-(E563+TIME(0,30,0)))*1440)))</f>
        <v>0</v>
      </c>
      <c r="M563" s="23">
        <f>(L563/60)*VLOOKUP(C563,Employees!A:J,10,0)*2</f>
        <v>0</v>
      </c>
      <c r="N563" s="24">
        <f t="shared" ref="N563:N568" si="291">IF(OR(I563="",G563="غياب",G563="إجازة أسبوعية",I563&lt;=F563),0,
IF(MOD(I563-F563,1)&lt;=TIME(0,25,0),0,MAX(0,(I563-F563)*1440)))</f>
        <v>73.999999999999574</v>
      </c>
      <c r="O563" s="25">
        <f>(N563/60)*VLOOKUP(C563,Employees!A:J,10,0)</f>
        <v>26.646090534979269</v>
      </c>
      <c r="P563" s="23">
        <f>IF(G563="غياب",VLOOKUP(C563,Employees!$A$3:$J$36,9,FALSE()),0)</f>
        <v>0</v>
      </c>
    </row>
    <row r="564" spans="1:16" ht="15" customHeight="1">
      <c r="A564" s="17" t="s">
        <v>97</v>
      </c>
      <c r="B564" s="19" t="s">
        <v>83</v>
      </c>
      <c r="C564" s="19" t="s">
        <v>39</v>
      </c>
      <c r="D564" s="19" t="str">
        <f>VLOOKUP(C564,Employees!A:J,2,0)</f>
        <v>احمد سمير</v>
      </c>
      <c r="E564" s="20">
        <v>0.41666666666666702</v>
      </c>
      <c r="F564" s="20">
        <v>0.91666666666666696</v>
      </c>
      <c r="G564" s="21" t="s">
        <v>69</v>
      </c>
      <c r="H564" s="20">
        <f t="shared" si="288"/>
        <v>0.41666666666666702</v>
      </c>
      <c r="I564" s="20">
        <f>F564</f>
        <v>0.91666666666666696</v>
      </c>
      <c r="J564" s="22">
        <f t="shared" si="289"/>
        <v>0</v>
      </c>
      <c r="K564" s="47">
        <f>(J564/60)*VLOOKUP(C564,Employees!A:J,10,0)*1.5</f>
        <v>0</v>
      </c>
      <c r="L564" s="22">
        <f t="shared" si="290"/>
        <v>0</v>
      </c>
      <c r="M564" s="23">
        <f>(L564/60)*VLOOKUP(C564,Employees!A:J,10,0)*2</f>
        <v>0</v>
      </c>
      <c r="N564" s="24">
        <f t="shared" si="291"/>
        <v>0</v>
      </c>
      <c r="O564" s="25">
        <f>(N564/60)*VLOOKUP(C564,Employees!A:J,10,0)</f>
        <v>0</v>
      </c>
      <c r="P564" s="23">
        <f>IF(G564="غياب",VLOOKUP(C564,Employees!$A$3:$J$36,9,FALSE()),0)</f>
        <v>0</v>
      </c>
    </row>
    <row r="565" spans="1:16" ht="15" customHeight="1">
      <c r="A565" s="17" t="s">
        <v>98</v>
      </c>
      <c r="B565" s="19" t="s">
        <v>68</v>
      </c>
      <c r="C565" s="19" t="s">
        <v>39</v>
      </c>
      <c r="D565" s="19" t="str">
        <f>VLOOKUP(C565,Employees!A:J,2,0)</f>
        <v>احمد سمير</v>
      </c>
      <c r="E565" s="20">
        <v>0.41666666666666702</v>
      </c>
      <c r="F565" s="20">
        <v>0.91666666666666696</v>
      </c>
      <c r="G565" s="21" t="s">
        <v>69</v>
      </c>
      <c r="H565" s="20">
        <f t="shared" si="288"/>
        <v>0.41666666666666702</v>
      </c>
      <c r="I565" s="20">
        <f>F565</f>
        <v>0.91666666666666696</v>
      </c>
      <c r="J565" s="22">
        <f t="shared" si="289"/>
        <v>0</v>
      </c>
      <c r="K565" s="47">
        <f>(J565/60)*VLOOKUP(C565,Employees!A:J,10,0)*1.5</f>
        <v>0</v>
      </c>
      <c r="L565" s="22">
        <f t="shared" si="290"/>
        <v>0</v>
      </c>
      <c r="M565" s="23">
        <f>(L565/60)*VLOOKUP(C565,Employees!A:J,10,0)*2</f>
        <v>0</v>
      </c>
      <c r="N565" s="24">
        <f t="shared" si="291"/>
        <v>0</v>
      </c>
      <c r="O565" s="25">
        <f>(N565/60)*VLOOKUP(C565,Employees!A:J,10,0)</f>
        <v>0</v>
      </c>
      <c r="P565" s="23">
        <f>IF(G565="غياب",VLOOKUP(C565,Employees!$A$3:$J$36,9,FALSE()),0)</f>
        <v>0</v>
      </c>
    </row>
    <row r="566" spans="1:16" ht="15" customHeight="1">
      <c r="A566" s="17" t="s">
        <v>99</v>
      </c>
      <c r="B566" s="19" t="s">
        <v>71</v>
      </c>
      <c r="C566" s="19" t="s">
        <v>39</v>
      </c>
      <c r="D566" s="19" t="str">
        <f>VLOOKUP(C566,Employees!A:J,2,0)</f>
        <v>احمد سمير</v>
      </c>
      <c r="E566" s="20">
        <v>0.41666666666666702</v>
      </c>
      <c r="F566" s="20">
        <v>0.91666666666666696</v>
      </c>
      <c r="G566" s="21" t="s">
        <v>69</v>
      </c>
      <c r="H566" s="20">
        <f t="shared" si="288"/>
        <v>0.41666666666666702</v>
      </c>
      <c r="I566" s="20">
        <v>0.95902777777777781</v>
      </c>
      <c r="J566" s="22">
        <f t="shared" si="289"/>
        <v>0</v>
      </c>
      <c r="K566" s="47">
        <f>(J566/60)*VLOOKUP(C566,Employees!A:J,10,0)*1.5</f>
        <v>0</v>
      </c>
      <c r="L566" s="22">
        <f t="shared" si="290"/>
        <v>0</v>
      </c>
      <c r="M566" s="23">
        <f>(L566/60)*VLOOKUP(C566,Employees!A:J,10,0)*2</f>
        <v>0</v>
      </c>
      <c r="N566" s="24">
        <f t="shared" si="291"/>
        <v>60.999999999999623</v>
      </c>
      <c r="O566" s="25">
        <f>(N566/60)*VLOOKUP(C566,Employees!A:J,10,0)</f>
        <v>21.96502057613155</v>
      </c>
      <c r="P566" s="23">
        <f>IF(G566="غياب",VLOOKUP(C566,Employees!$A$3:$J$36,9,FALSE()),0)</f>
        <v>0</v>
      </c>
    </row>
    <row r="567" spans="1:16" ht="15" customHeight="1">
      <c r="A567" s="17" t="s">
        <v>100</v>
      </c>
      <c r="B567" s="19" t="s">
        <v>73</v>
      </c>
      <c r="C567" s="19" t="s">
        <v>39</v>
      </c>
      <c r="D567" s="19" t="str">
        <f>VLOOKUP(C567,Employees!A:J,2,0)</f>
        <v>احمد سمير</v>
      </c>
      <c r="E567" s="20">
        <v>0.375</v>
      </c>
      <c r="F567" s="20">
        <v>0.875</v>
      </c>
      <c r="G567" s="21" t="s">
        <v>69</v>
      </c>
      <c r="H567" s="20">
        <f t="shared" si="288"/>
        <v>0.375</v>
      </c>
      <c r="I567" s="20">
        <f>F567</f>
        <v>0.875</v>
      </c>
      <c r="J567" s="22">
        <f t="shared" si="289"/>
        <v>0</v>
      </c>
      <c r="K567" s="47">
        <f>(J567/60)*VLOOKUP(C567,Employees!A:J,10,0)*1.5</f>
        <v>0</v>
      </c>
      <c r="L567" s="22">
        <f t="shared" si="290"/>
        <v>0</v>
      </c>
      <c r="M567" s="23">
        <f>(L567/60)*VLOOKUP(C567,Employees!A:J,10,0)*2</f>
        <v>0</v>
      </c>
      <c r="N567" s="24">
        <f t="shared" si="291"/>
        <v>0</v>
      </c>
      <c r="O567" s="25">
        <f>(N567/60)*VLOOKUP(C567,Employees!A:J,10,0)</f>
        <v>0</v>
      </c>
      <c r="P567" s="23">
        <f>IF(G567="غياب",VLOOKUP(C567,Employees!$A$3:$J$36,9,FALSE()),0)</f>
        <v>0</v>
      </c>
    </row>
    <row r="568" spans="1:16" ht="15" customHeight="1">
      <c r="A568" s="17" t="s">
        <v>101</v>
      </c>
      <c r="B568" s="19" t="s">
        <v>75</v>
      </c>
      <c r="C568" s="19" t="s">
        <v>39</v>
      </c>
      <c r="D568" s="19" t="str">
        <f>VLOOKUP(C568,Employees!A:J,2,0)</f>
        <v>احمد سمير</v>
      </c>
      <c r="E568" s="20">
        <v>0.375</v>
      </c>
      <c r="F568" s="20">
        <v>0.875</v>
      </c>
      <c r="G568" s="21" t="s">
        <v>69</v>
      </c>
      <c r="H568" s="20">
        <f t="shared" si="288"/>
        <v>0.375</v>
      </c>
      <c r="I568" s="20">
        <v>0.91111111111111109</v>
      </c>
      <c r="J568" s="22">
        <f t="shared" si="289"/>
        <v>0</v>
      </c>
      <c r="K568" s="47">
        <f>(J568/60)*VLOOKUP(C568,Employees!A:J,10,0)*1.5</f>
        <v>0</v>
      </c>
      <c r="L568" s="22">
        <f t="shared" si="290"/>
        <v>0</v>
      </c>
      <c r="M568" s="23">
        <f>(L568/60)*VLOOKUP(C568,Employees!A:J,10,0)*2</f>
        <v>0</v>
      </c>
      <c r="N568" s="24">
        <f t="shared" si="291"/>
        <v>51.999999999999972</v>
      </c>
      <c r="O568" s="25">
        <f>(N568/60)*VLOOKUP(C568,Employees!A:J,10,0)</f>
        <v>18.724279835390934</v>
      </c>
      <c r="P568" s="23">
        <f>IF(G568="غياب",VLOOKUP(C568,Employees!$A$3:$J$36,9,FALSE()),0)</f>
        <v>0</v>
      </c>
    </row>
    <row r="569" spans="1:16" ht="15" customHeight="1">
      <c r="A569" s="26" t="s">
        <v>102</v>
      </c>
      <c r="B569" s="28" t="s">
        <v>77</v>
      </c>
      <c r="C569" s="28" t="s">
        <v>39</v>
      </c>
      <c r="D569" s="28" t="str">
        <f>VLOOKUP(C569,Employees!A:J,2,0)</f>
        <v>احمد سمير</v>
      </c>
      <c r="E569" s="29" t="s">
        <v>78</v>
      </c>
      <c r="F569" s="29" t="s">
        <v>78</v>
      </c>
      <c r="G569" s="27" t="s">
        <v>79</v>
      </c>
      <c r="H569" s="29" t="s">
        <v>78</v>
      </c>
      <c r="I569" s="29" t="s">
        <v>78</v>
      </c>
      <c r="J569" s="22" t="s">
        <v>78</v>
      </c>
      <c r="K569" s="47" t="s">
        <v>78</v>
      </c>
      <c r="L569" s="22" t="s">
        <v>78</v>
      </c>
      <c r="M569" s="23" t="s">
        <v>78</v>
      </c>
      <c r="N569" s="24" t="s">
        <v>78</v>
      </c>
      <c r="O569" s="24" t="s">
        <v>78</v>
      </c>
      <c r="P569" s="23">
        <f>IF(G569="غياب",VLOOKUP(C569,Employees!$A$3:$J$36,9,FALSE()),0)</f>
        <v>0</v>
      </c>
    </row>
    <row r="570" spans="1:16" ht="15" customHeight="1">
      <c r="A570" s="17" t="s">
        <v>103</v>
      </c>
      <c r="B570" s="19" t="s">
        <v>81</v>
      </c>
      <c r="C570" s="19" t="s">
        <v>39</v>
      </c>
      <c r="D570" s="19" t="str">
        <f>VLOOKUP(C570,Employees!A:J,2,0)</f>
        <v>احمد سمير</v>
      </c>
      <c r="E570" s="20">
        <v>0.375</v>
      </c>
      <c r="F570" s="20">
        <v>0.875</v>
      </c>
      <c r="G570" s="21" t="s">
        <v>69</v>
      </c>
      <c r="H570" s="20">
        <f t="shared" ref="H570:H577" si="292">E570</f>
        <v>0.375</v>
      </c>
      <c r="I570" s="20">
        <f>F570</f>
        <v>0.875</v>
      </c>
      <c r="J570" s="22">
        <f t="shared" ref="J570:J577" si="293">IF(OR(H570="",G570="غياب",G570="إجازة أسبوعية"),0,
IF(H570&gt;=E570-TIME(0,20,0),0,
IF(H570&gt;=E570-TIME(0,30,0),30,(E570-H570)*1440)))</f>
        <v>0</v>
      </c>
      <c r="K570" s="47">
        <f>(J570/60)*VLOOKUP(C570,Employees!A:J,10,0)*1.5</f>
        <v>0</v>
      </c>
      <c r="L570" s="22">
        <f t="shared" ref="L570:L577" si="294">IF(OR(H570="",G570="غياب",G570="إجازة أسبوعية"),0,
IF(H570&lt;=E570+TIME(0,30,0),0,
30+((H570-(E570+TIME(0,30,0)))*1440)))</f>
        <v>0</v>
      </c>
      <c r="M570" s="23">
        <f>(L570/60)*VLOOKUP(C570,Employees!A:J,10,0)*2</f>
        <v>0</v>
      </c>
      <c r="N570" s="24">
        <f t="shared" ref="N570:N577" si="295">IF(OR(I570="",G570="غياب",G570="إجازة أسبوعية",I570&lt;=F570),0,
IF(MOD(I570-F570,1)&lt;=TIME(0,25,0),0,MAX(0,(I570-F570)*1440)))</f>
        <v>0</v>
      </c>
      <c r="O570" s="25">
        <f>(N570/60)*VLOOKUP(C570,Employees!A:J,10,0)</f>
        <v>0</v>
      </c>
      <c r="P570" s="23">
        <f>IF(G570="غياب",VLOOKUP(C570,Employees!$A$3:$J$36,9,FALSE()),0)</f>
        <v>0</v>
      </c>
    </row>
    <row r="571" spans="1:16" ht="15" customHeight="1">
      <c r="A571" s="17" t="s">
        <v>104</v>
      </c>
      <c r="B571" s="19" t="s">
        <v>83</v>
      </c>
      <c r="C571" s="19" t="s">
        <v>39</v>
      </c>
      <c r="D571" s="19" t="str">
        <f>VLOOKUP(C571,Employees!A:J,2,0)</f>
        <v>احمد سمير</v>
      </c>
      <c r="E571" s="20">
        <v>0.375</v>
      </c>
      <c r="F571" s="20">
        <v>0.875</v>
      </c>
      <c r="G571" s="21" t="s">
        <v>69</v>
      </c>
      <c r="H571" s="20">
        <f t="shared" si="292"/>
        <v>0.375</v>
      </c>
      <c r="I571" s="20">
        <f>F571</f>
        <v>0.875</v>
      </c>
      <c r="J571" s="22">
        <f t="shared" si="293"/>
        <v>0</v>
      </c>
      <c r="K571" s="47">
        <f>(J571/60)*VLOOKUP(C571,Employees!A:J,10,0)*1.5</f>
        <v>0</v>
      </c>
      <c r="L571" s="22">
        <f t="shared" si="294"/>
        <v>0</v>
      </c>
      <c r="M571" s="23">
        <f>(L571/60)*VLOOKUP(C571,Employees!A:J,10,0)*2</f>
        <v>0</v>
      </c>
      <c r="N571" s="24">
        <f t="shared" si="295"/>
        <v>0</v>
      </c>
      <c r="O571" s="25">
        <f>(N571/60)*VLOOKUP(C571,Employees!A:J,10,0)</f>
        <v>0</v>
      </c>
      <c r="P571" s="23">
        <f>IF(G571="غياب",VLOOKUP(C571,Employees!$A$3:$J$36,9,FALSE()),0)</f>
        <v>0</v>
      </c>
    </row>
    <row r="572" spans="1:16" ht="15" customHeight="1">
      <c r="A572" s="17" t="s">
        <v>105</v>
      </c>
      <c r="B572" s="19" t="s">
        <v>68</v>
      </c>
      <c r="C572" s="19" t="s">
        <v>39</v>
      </c>
      <c r="D572" s="19" t="str">
        <f>VLOOKUP(C572,Employees!A:J,2,0)</f>
        <v>احمد سمير</v>
      </c>
      <c r="E572" s="20">
        <v>0.375</v>
      </c>
      <c r="F572" s="20">
        <v>0.875</v>
      </c>
      <c r="G572" s="21" t="s">
        <v>69</v>
      </c>
      <c r="H572" s="20">
        <f t="shared" si="292"/>
        <v>0.375</v>
      </c>
      <c r="I572" s="20">
        <f>F572</f>
        <v>0.875</v>
      </c>
      <c r="J572" s="22">
        <f t="shared" si="293"/>
        <v>0</v>
      </c>
      <c r="K572" s="47">
        <f>(J572/60)*VLOOKUP(C572,Employees!A:J,10,0)*1.5</f>
        <v>0</v>
      </c>
      <c r="L572" s="22">
        <f t="shared" si="294"/>
        <v>0</v>
      </c>
      <c r="M572" s="23">
        <f>(L572/60)*VLOOKUP(C572,Employees!A:J,10,0)*2</f>
        <v>0</v>
      </c>
      <c r="N572" s="24">
        <f t="shared" si="295"/>
        <v>0</v>
      </c>
      <c r="O572" s="25">
        <f>(N572/60)*VLOOKUP(C572,Employees!A:J,10,0)</f>
        <v>0</v>
      </c>
      <c r="P572" s="23">
        <f>IF(G572="غياب",VLOOKUP(C572,Employees!$A$3:$J$36,9,FALSE()),0)</f>
        <v>0</v>
      </c>
    </row>
    <row r="573" spans="1:16" ht="15" customHeight="1">
      <c r="A573" s="17" t="s">
        <v>106</v>
      </c>
      <c r="B573" s="19" t="s">
        <v>71</v>
      </c>
      <c r="C573" s="19" t="s">
        <v>39</v>
      </c>
      <c r="D573" s="19" t="str">
        <f>VLOOKUP(C573,Employees!A:J,2,0)</f>
        <v>احمد سمير</v>
      </c>
      <c r="E573" s="20">
        <v>0.375</v>
      </c>
      <c r="F573" s="20">
        <v>0.875</v>
      </c>
      <c r="G573" s="21" t="s">
        <v>69</v>
      </c>
      <c r="H573" s="20">
        <f t="shared" si="292"/>
        <v>0.375</v>
      </c>
      <c r="I573" s="20">
        <f>F573</f>
        <v>0.875</v>
      </c>
      <c r="J573" s="22">
        <f t="shared" si="293"/>
        <v>0</v>
      </c>
      <c r="K573" s="47">
        <f>(J573/60)*VLOOKUP(C573,Employees!A:J,10,0)*1.5</f>
        <v>0</v>
      </c>
      <c r="L573" s="22">
        <f t="shared" si="294"/>
        <v>0</v>
      </c>
      <c r="M573" s="23">
        <f>(L573/60)*VLOOKUP(C573,Employees!A:J,10,0)*2</f>
        <v>0</v>
      </c>
      <c r="N573" s="24">
        <f t="shared" si="295"/>
        <v>0</v>
      </c>
      <c r="O573" s="25">
        <f>(N573/60)*VLOOKUP(C573,Employees!A:J,10,0)</f>
        <v>0</v>
      </c>
      <c r="P573" s="23">
        <f>IF(G573="غياب",VLOOKUP(C573,Employees!$A$3:$J$36,9,FALSE()),0)</f>
        <v>0</v>
      </c>
    </row>
    <row r="574" spans="1:16" ht="15" customHeight="1">
      <c r="A574" s="17" t="s">
        <v>67</v>
      </c>
      <c r="B574" s="19" t="s">
        <v>68</v>
      </c>
      <c r="C574" s="19" t="s">
        <v>40</v>
      </c>
      <c r="D574" s="19" t="str">
        <f>VLOOKUP(C574,Employees!A:J,2,0)</f>
        <v>محمد عبد الكريم</v>
      </c>
      <c r="E574" s="20">
        <v>0.375</v>
      </c>
      <c r="F574" s="20">
        <v>0.875</v>
      </c>
      <c r="G574" s="21" t="s">
        <v>69</v>
      </c>
      <c r="H574" s="20">
        <f t="shared" si="292"/>
        <v>0.375</v>
      </c>
      <c r="I574" s="20">
        <v>0.85902777777777772</v>
      </c>
      <c r="J574" s="22">
        <f t="shared" si="293"/>
        <v>0</v>
      </c>
      <c r="K574" s="47">
        <f>(J574/60)*VLOOKUP(C574,Employees!A:J,10,0)*1.5</f>
        <v>0</v>
      </c>
      <c r="L574" s="22">
        <f t="shared" si="294"/>
        <v>0</v>
      </c>
      <c r="M574" s="23">
        <f>(L574/60)*VLOOKUP(C574,Employees!A:J,10,0)*2</f>
        <v>0</v>
      </c>
      <c r="N574" s="24">
        <f t="shared" si="295"/>
        <v>0</v>
      </c>
      <c r="O574" s="25">
        <f>(N574/60)*VLOOKUP(C574,Employees!A:J,10,0)</f>
        <v>0</v>
      </c>
      <c r="P574" s="23">
        <f>IF(G574="غياب",VLOOKUP(C574,Employees!$A$3:$J$36,9,FALSE()),0)</f>
        <v>0</v>
      </c>
    </row>
    <row r="575" spans="1:16" ht="15" customHeight="1">
      <c r="A575" s="17" t="s">
        <v>70</v>
      </c>
      <c r="B575" s="19" t="s">
        <v>71</v>
      </c>
      <c r="C575" s="19" t="s">
        <v>40</v>
      </c>
      <c r="D575" s="19" t="str">
        <f>VLOOKUP(C575,Employees!A:J,2,0)</f>
        <v>محمد عبد الكريم</v>
      </c>
      <c r="E575" s="20">
        <v>0.375</v>
      </c>
      <c r="F575" s="20">
        <v>0.875</v>
      </c>
      <c r="G575" s="21" t="s">
        <v>69</v>
      </c>
      <c r="H575" s="20">
        <f t="shared" si="292"/>
        <v>0.375</v>
      </c>
      <c r="I575" s="20">
        <v>0.86388888888888893</v>
      </c>
      <c r="J575" s="22">
        <f t="shared" si="293"/>
        <v>0</v>
      </c>
      <c r="K575" s="47">
        <f>(J575/60)*VLOOKUP(C575,Employees!A:J,10,0)*1.5</f>
        <v>0</v>
      </c>
      <c r="L575" s="22">
        <f t="shared" si="294"/>
        <v>0</v>
      </c>
      <c r="M575" s="23">
        <f>(L575/60)*VLOOKUP(C575,Employees!A:J,10,0)*2</f>
        <v>0</v>
      </c>
      <c r="N575" s="24">
        <f t="shared" si="295"/>
        <v>0</v>
      </c>
      <c r="O575" s="25">
        <f>(N575/60)*VLOOKUP(C575,Employees!A:J,10,0)</f>
        <v>0</v>
      </c>
      <c r="P575" s="23">
        <f>IF(G575="غياب",VLOOKUP(C575,Employees!$A$3:$J$36,9,FALSE()),0)</f>
        <v>0</v>
      </c>
    </row>
    <row r="576" spans="1:16" ht="15" customHeight="1">
      <c r="A576" s="17" t="s">
        <v>72</v>
      </c>
      <c r="B576" s="19" t="s">
        <v>73</v>
      </c>
      <c r="C576" s="19" t="s">
        <v>40</v>
      </c>
      <c r="D576" s="19" t="str">
        <f>VLOOKUP(C576,Employees!A:J,2,0)</f>
        <v>محمد عبد الكريم</v>
      </c>
      <c r="E576" s="20">
        <v>0.375</v>
      </c>
      <c r="F576" s="20">
        <v>0.875</v>
      </c>
      <c r="G576" s="21" t="s">
        <v>69</v>
      </c>
      <c r="H576" s="20">
        <f t="shared" si="292"/>
        <v>0.375</v>
      </c>
      <c r="I576" s="20">
        <v>0.88888888888888884</v>
      </c>
      <c r="J576" s="22">
        <f t="shared" si="293"/>
        <v>0</v>
      </c>
      <c r="K576" s="47">
        <f>(J576/60)*VLOOKUP(C576,Employees!A:J,10,0)*1.5</f>
        <v>0</v>
      </c>
      <c r="L576" s="22">
        <f t="shared" si="294"/>
        <v>0</v>
      </c>
      <c r="M576" s="23">
        <f>(L576/60)*VLOOKUP(C576,Employees!A:J,10,0)*2</f>
        <v>0</v>
      </c>
      <c r="N576" s="24">
        <f t="shared" si="295"/>
        <v>0</v>
      </c>
      <c r="O576" s="25">
        <f>(N576/60)*VLOOKUP(C576,Employees!A:J,10,0)</f>
        <v>0</v>
      </c>
      <c r="P576" s="23">
        <f>IF(G576="غياب",VLOOKUP(C576,Employees!$A$3:$J$36,9,FALSE()),0)</f>
        <v>0</v>
      </c>
    </row>
    <row r="577" spans="1:16" ht="15" customHeight="1">
      <c r="A577" s="17" t="s">
        <v>74</v>
      </c>
      <c r="B577" s="19" t="s">
        <v>75</v>
      </c>
      <c r="C577" s="19" t="s">
        <v>40</v>
      </c>
      <c r="D577" s="19" t="str">
        <f>VLOOKUP(C577,Employees!A:J,2,0)</f>
        <v>محمد عبد الكريم</v>
      </c>
      <c r="E577" s="20">
        <v>0.375</v>
      </c>
      <c r="F577" s="20">
        <v>0.875</v>
      </c>
      <c r="G577" s="21" t="s">
        <v>69</v>
      </c>
      <c r="H577" s="20">
        <f t="shared" si="292"/>
        <v>0.375</v>
      </c>
      <c r="I577" s="20">
        <v>0.85972222222222228</v>
      </c>
      <c r="J577" s="22">
        <f t="shared" si="293"/>
        <v>0</v>
      </c>
      <c r="K577" s="47">
        <f>(J577/60)*VLOOKUP(C577,Employees!A:J,10,0)*1.5</f>
        <v>0</v>
      </c>
      <c r="L577" s="22">
        <f t="shared" si="294"/>
        <v>0</v>
      </c>
      <c r="M577" s="23">
        <f>(L577/60)*VLOOKUP(C577,Employees!A:J,10,0)*2</f>
        <v>0</v>
      </c>
      <c r="N577" s="24">
        <f t="shared" si="295"/>
        <v>0</v>
      </c>
      <c r="O577" s="25">
        <f>(N577/60)*VLOOKUP(C577,Employees!A:J,10,0)</f>
        <v>0</v>
      </c>
      <c r="P577" s="23">
        <f>IF(G577="غياب",VLOOKUP(C577,Employees!$A$3:$J$36,9,FALSE()),0)</f>
        <v>0</v>
      </c>
    </row>
    <row r="578" spans="1:16" ht="15" customHeight="1">
      <c r="A578" s="26" t="s">
        <v>76</v>
      </c>
      <c r="B578" s="28" t="s">
        <v>77</v>
      </c>
      <c r="C578" s="28" t="s">
        <v>40</v>
      </c>
      <c r="D578" s="28" t="str">
        <f>VLOOKUP(C578,Employees!A:J,2,0)</f>
        <v>محمد عبد الكريم</v>
      </c>
      <c r="E578" s="29" t="s">
        <v>78</v>
      </c>
      <c r="F578" s="29" t="s">
        <v>78</v>
      </c>
      <c r="G578" s="27" t="s">
        <v>79</v>
      </c>
      <c r="H578" s="29" t="s">
        <v>78</v>
      </c>
      <c r="I578" s="29" t="s">
        <v>78</v>
      </c>
      <c r="J578" s="22" t="s">
        <v>78</v>
      </c>
      <c r="K578" s="47" t="s">
        <v>78</v>
      </c>
      <c r="L578" s="22" t="s">
        <v>78</v>
      </c>
      <c r="M578" s="23" t="s">
        <v>78</v>
      </c>
      <c r="N578" s="24" t="s">
        <v>78</v>
      </c>
      <c r="O578" s="24" t="s">
        <v>78</v>
      </c>
      <c r="P578" s="23">
        <f>IF(G578="غياب",VLOOKUP(C578,Employees!$A$3:$J$36,9,FALSE()),0)</f>
        <v>0</v>
      </c>
    </row>
    <row r="579" spans="1:16" ht="15" customHeight="1">
      <c r="A579" s="17" t="s">
        <v>80</v>
      </c>
      <c r="B579" s="19" t="s">
        <v>81</v>
      </c>
      <c r="C579" s="19" t="s">
        <v>40</v>
      </c>
      <c r="D579" s="19" t="str">
        <f>VLOOKUP(C579,Employees!A:J,2,0)</f>
        <v>محمد عبد الكريم</v>
      </c>
      <c r="E579" s="20">
        <v>0.375</v>
      </c>
      <c r="F579" s="20">
        <v>0.875</v>
      </c>
      <c r="G579" s="21" t="s">
        <v>69</v>
      </c>
      <c r="H579" s="20">
        <f t="shared" ref="H579:H584" si="296">E579</f>
        <v>0.375</v>
      </c>
      <c r="I579" s="20">
        <v>0.86805555555555558</v>
      </c>
      <c r="J579" s="22">
        <f t="shared" ref="J579:J584" si="297">IF(OR(H579="",G579="غياب",G579="إجازة أسبوعية"),0,
IF(H579&gt;=E579-TIME(0,20,0),0,
IF(H579&gt;=E579-TIME(0,30,0),30,(E579-H579)*1440)))</f>
        <v>0</v>
      </c>
      <c r="K579" s="47">
        <f>(J579/60)*VLOOKUP(C579,Employees!A:J,10,0)*1.5</f>
        <v>0</v>
      </c>
      <c r="L579" s="22">
        <f t="shared" ref="L579:L584" si="298">IF(OR(H579="",G579="غياب",G579="إجازة أسبوعية"),0,
IF(H579&lt;=E579+TIME(0,30,0),0,
30+((H579-(E579+TIME(0,30,0)))*1440)))</f>
        <v>0</v>
      </c>
      <c r="M579" s="23">
        <f>(L579/60)*VLOOKUP(C579,Employees!A:J,10,0)*2</f>
        <v>0</v>
      </c>
      <c r="N579" s="24">
        <f t="shared" ref="N579:N584" si="299">IF(OR(I579="",G579="غياب",G579="إجازة أسبوعية",I579&lt;=F579),0,
IF(MOD(I579-F579,1)&lt;=TIME(0,25,0),0,MAX(0,(I579-F579)*1440)))</f>
        <v>0</v>
      </c>
      <c r="O579" s="25">
        <f>(N579/60)*VLOOKUP(C579,Employees!A:J,10,0)</f>
        <v>0</v>
      </c>
      <c r="P579" s="23">
        <f>IF(G579="غياب",VLOOKUP(C579,Employees!$A$3:$J$36,9,FALSE()),0)</f>
        <v>0</v>
      </c>
    </row>
    <row r="580" spans="1:16" ht="15" customHeight="1">
      <c r="A580" s="17" t="s">
        <v>82</v>
      </c>
      <c r="B580" s="19" t="s">
        <v>83</v>
      </c>
      <c r="C580" s="19" t="s">
        <v>40</v>
      </c>
      <c r="D580" s="19" t="str">
        <f>VLOOKUP(C580,Employees!A:J,2,0)</f>
        <v>محمد عبد الكريم</v>
      </c>
      <c r="E580" s="20">
        <v>0.375</v>
      </c>
      <c r="F580" s="20">
        <v>0.875</v>
      </c>
      <c r="G580" s="21" t="s">
        <v>69</v>
      </c>
      <c r="H580" s="20">
        <f t="shared" si="296"/>
        <v>0.375</v>
      </c>
      <c r="I580" s="20">
        <v>0.87222222222222223</v>
      </c>
      <c r="J580" s="22">
        <f t="shared" si="297"/>
        <v>0</v>
      </c>
      <c r="K580" s="47">
        <f>(J580/60)*VLOOKUP(C580,Employees!A:J,10,0)*1.5</f>
        <v>0</v>
      </c>
      <c r="L580" s="22">
        <f t="shared" si="298"/>
        <v>0</v>
      </c>
      <c r="M580" s="23">
        <f>(L580/60)*VLOOKUP(C580,Employees!A:J,10,0)*2</f>
        <v>0</v>
      </c>
      <c r="N580" s="24">
        <f t="shared" si="299"/>
        <v>0</v>
      </c>
      <c r="O580" s="25">
        <f>(N580/60)*VLOOKUP(C580,Employees!A:J,10,0)</f>
        <v>0</v>
      </c>
      <c r="P580" s="23">
        <f>IF(G580="غياب",VLOOKUP(C580,Employees!$A$3:$J$36,9,FALSE()),0)</f>
        <v>0</v>
      </c>
    </row>
    <row r="581" spans="1:16" ht="15" customHeight="1">
      <c r="A581" s="17" t="s">
        <v>84</v>
      </c>
      <c r="B581" s="19" t="s">
        <v>68</v>
      </c>
      <c r="C581" s="19" t="s">
        <v>40</v>
      </c>
      <c r="D581" s="19" t="str">
        <f>VLOOKUP(C581,Employees!A:J,2,0)</f>
        <v>محمد عبد الكريم</v>
      </c>
      <c r="E581" s="20">
        <v>0.375</v>
      </c>
      <c r="F581" s="20">
        <v>0.875</v>
      </c>
      <c r="G581" s="21" t="s">
        <v>69</v>
      </c>
      <c r="H581" s="20">
        <f t="shared" si="296"/>
        <v>0.375</v>
      </c>
      <c r="I581" s="20">
        <v>0.97222222222222221</v>
      </c>
      <c r="J581" s="22">
        <f t="shared" si="297"/>
        <v>0</v>
      </c>
      <c r="K581" s="47">
        <f>(J581/60)*VLOOKUP(C581,Employees!A:J,10,0)*1.5</f>
        <v>0</v>
      </c>
      <c r="L581" s="22">
        <f t="shared" si="298"/>
        <v>0</v>
      </c>
      <c r="M581" s="23">
        <f>(L581/60)*VLOOKUP(C581,Employees!A:J,10,0)*2</f>
        <v>0</v>
      </c>
      <c r="N581" s="24">
        <f t="shared" si="299"/>
        <v>139.99999999999997</v>
      </c>
      <c r="O581" s="25">
        <f>(N581/60)*VLOOKUP(C581,Employees!A:J,10,0)</f>
        <v>50.411522633744845</v>
      </c>
      <c r="P581" s="23">
        <f>IF(G581="غياب",VLOOKUP(C581,Employees!$A$3:$J$36,9,FALSE()),0)</f>
        <v>0</v>
      </c>
    </row>
    <row r="582" spans="1:16" ht="15" customHeight="1">
      <c r="A582" s="17" t="s">
        <v>85</v>
      </c>
      <c r="B582" s="19" t="s">
        <v>71</v>
      </c>
      <c r="C582" s="19" t="s">
        <v>40</v>
      </c>
      <c r="D582" s="19" t="str">
        <f>VLOOKUP(C582,Employees!A:J,2,0)</f>
        <v>محمد عبد الكريم</v>
      </c>
      <c r="E582" s="20">
        <v>0.375</v>
      </c>
      <c r="F582" s="20">
        <v>0.875</v>
      </c>
      <c r="G582" s="21" t="s">
        <v>69</v>
      </c>
      <c r="H582" s="20">
        <f t="shared" si="296"/>
        <v>0.375</v>
      </c>
      <c r="I582" s="20">
        <v>0.91041666666666665</v>
      </c>
      <c r="J582" s="22">
        <f t="shared" si="297"/>
        <v>0</v>
      </c>
      <c r="K582" s="47">
        <f>(J582/60)*VLOOKUP(C582,Employees!A:J,10,0)*1.5</f>
        <v>0</v>
      </c>
      <c r="L582" s="22">
        <f t="shared" si="298"/>
        <v>0</v>
      </c>
      <c r="M582" s="23">
        <f>(L582/60)*VLOOKUP(C582,Employees!A:J,10,0)*2</f>
        <v>0</v>
      </c>
      <c r="N582" s="24">
        <f t="shared" si="299"/>
        <v>50.999999999999979</v>
      </c>
      <c r="O582" s="25">
        <f>(N582/60)*VLOOKUP(C582,Employees!A:J,10,0)</f>
        <v>18.364197530864189</v>
      </c>
      <c r="P582" s="23">
        <f>IF(G582="غياب",VLOOKUP(C582,Employees!$A$3:$J$36,9,FALSE()),0)</f>
        <v>0</v>
      </c>
    </row>
    <row r="583" spans="1:16" ht="15" customHeight="1">
      <c r="A583" s="17" t="s">
        <v>86</v>
      </c>
      <c r="B583" s="19" t="s">
        <v>73</v>
      </c>
      <c r="C583" s="19" t="s">
        <v>40</v>
      </c>
      <c r="D583" s="19" t="str">
        <f>VLOOKUP(C583,Employees!A:J,2,0)</f>
        <v>محمد عبد الكريم</v>
      </c>
      <c r="E583" s="20">
        <v>0.375</v>
      </c>
      <c r="F583" s="20">
        <v>0.875</v>
      </c>
      <c r="G583" s="21" t="s">
        <v>69</v>
      </c>
      <c r="H583" s="20">
        <f t="shared" si="296"/>
        <v>0.375</v>
      </c>
      <c r="I583" s="20">
        <v>0.91041666666666665</v>
      </c>
      <c r="J583" s="22">
        <f t="shared" si="297"/>
        <v>0</v>
      </c>
      <c r="K583" s="47">
        <f>(J583/60)*VLOOKUP(C583,Employees!A:J,10,0)*1.5</f>
        <v>0</v>
      </c>
      <c r="L583" s="22">
        <f t="shared" si="298"/>
        <v>0</v>
      </c>
      <c r="M583" s="23">
        <f>(L583/60)*VLOOKUP(C583,Employees!A:J,10,0)*2</f>
        <v>0</v>
      </c>
      <c r="N583" s="24">
        <f t="shared" si="299"/>
        <v>50.999999999999979</v>
      </c>
      <c r="O583" s="25">
        <f>(N583/60)*VLOOKUP(C583,Employees!A:J,10,0)</f>
        <v>18.364197530864189</v>
      </c>
      <c r="P583" s="23">
        <f>IF(G583="غياب",VLOOKUP(C583,Employees!$A$3:$J$36,9,FALSE()),0)</f>
        <v>0</v>
      </c>
    </row>
    <row r="584" spans="1:16" ht="15" customHeight="1">
      <c r="A584" s="17" t="s">
        <v>87</v>
      </c>
      <c r="B584" s="19" t="s">
        <v>75</v>
      </c>
      <c r="C584" s="19" t="s">
        <v>40</v>
      </c>
      <c r="D584" s="19" t="str">
        <f>VLOOKUP(C584,Employees!A:J,2,0)</f>
        <v>محمد عبد الكريم</v>
      </c>
      <c r="E584" s="20">
        <v>0.41666666666666702</v>
      </c>
      <c r="F584" s="20">
        <v>0.91666666666666696</v>
      </c>
      <c r="G584" s="21" t="s">
        <v>69</v>
      </c>
      <c r="H584" s="20">
        <f t="shared" si="296"/>
        <v>0.41666666666666702</v>
      </c>
      <c r="I584" s="20">
        <v>0.91597222222222219</v>
      </c>
      <c r="J584" s="22">
        <f t="shared" si="297"/>
        <v>0</v>
      </c>
      <c r="K584" s="47">
        <f>(J584/60)*VLOOKUP(C584,Employees!A:J,10,0)*1.5</f>
        <v>0</v>
      </c>
      <c r="L584" s="22">
        <f t="shared" si="298"/>
        <v>0</v>
      </c>
      <c r="M584" s="23">
        <f>(L584/60)*VLOOKUP(C584,Employees!A:J,10,0)*2</f>
        <v>0</v>
      </c>
      <c r="N584" s="24">
        <f t="shared" si="299"/>
        <v>0</v>
      </c>
      <c r="O584" s="25">
        <f>(N584/60)*VLOOKUP(C584,Employees!A:J,10,0)</f>
        <v>0</v>
      </c>
      <c r="P584" s="23">
        <f>IF(G584="غياب",VLOOKUP(C584,Employees!$A$3:$J$36,9,FALSE()),0)</f>
        <v>0</v>
      </c>
    </row>
    <row r="585" spans="1:16" ht="15" customHeight="1">
      <c r="A585" s="26" t="s">
        <v>88</v>
      </c>
      <c r="B585" s="28" t="s">
        <v>77</v>
      </c>
      <c r="C585" s="28" t="s">
        <v>40</v>
      </c>
      <c r="D585" s="28" t="str">
        <f>VLOOKUP(C585,Employees!A:J,2,0)</f>
        <v>محمد عبد الكريم</v>
      </c>
      <c r="E585" s="29" t="s">
        <v>78</v>
      </c>
      <c r="F585" s="29" t="s">
        <v>78</v>
      </c>
      <c r="G585" s="27" t="s">
        <v>79</v>
      </c>
      <c r="H585" s="29" t="s">
        <v>78</v>
      </c>
      <c r="I585" s="29" t="s">
        <v>78</v>
      </c>
      <c r="J585" s="22" t="s">
        <v>78</v>
      </c>
      <c r="K585" s="47" t="s">
        <v>78</v>
      </c>
      <c r="L585" s="22" t="s">
        <v>78</v>
      </c>
      <c r="M585" s="23" t="s">
        <v>78</v>
      </c>
      <c r="N585" s="24" t="s">
        <v>78</v>
      </c>
      <c r="O585" s="24" t="s">
        <v>78</v>
      </c>
      <c r="P585" s="23">
        <f>IF(G585="غياب",VLOOKUP(C585,Employees!$A$3:$J$36,9,FALSE()),0)</f>
        <v>0</v>
      </c>
    </row>
    <row r="586" spans="1:16" ht="15" customHeight="1">
      <c r="A586" s="26" t="s">
        <v>89</v>
      </c>
      <c r="B586" s="28" t="s">
        <v>81</v>
      </c>
      <c r="C586" s="28" t="s">
        <v>40</v>
      </c>
      <c r="D586" s="28" t="str">
        <f>VLOOKUP(C586,Employees!A:J,2,0)</f>
        <v>محمد عبد الكريم</v>
      </c>
      <c r="E586" s="29" t="s">
        <v>78</v>
      </c>
      <c r="F586" s="29" t="s">
        <v>78</v>
      </c>
      <c r="G586" s="27" t="s">
        <v>79</v>
      </c>
      <c r="H586" s="29" t="s">
        <v>78</v>
      </c>
      <c r="I586" s="29" t="s">
        <v>78</v>
      </c>
      <c r="J586" s="22" t="s">
        <v>78</v>
      </c>
      <c r="K586" s="47" t="s">
        <v>78</v>
      </c>
      <c r="L586" s="22" t="s">
        <v>78</v>
      </c>
      <c r="M586" s="23" t="s">
        <v>78</v>
      </c>
      <c r="N586" s="24" t="s">
        <v>78</v>
      </c>
      <c r="O586" s="24" t="s">
        <v>78</v>
      </c>
      <c r="P586" s="23">
        <f>IF(G586="غياب",VLOOKUP(C586,Employees!$A$3:$J$36,9,FALSE()),0)</f>
        <v>0</v>
      </c>
    </row>
    <row r="587" spans="1:16" ht="15" customHeight="1">
      <c r="A587" s="17" t="s">
        <v>90</v>
      </c>
      <c r="B587" s="19" t="s">
        <v>83</v>
      </c>
      <c r="C587" s="19" t="s">
        <v>40</v>
      </c>
      <c r="D587" s="19" t="str">
        <f>VLOOKUP(C587,Employees!A:J,2,0)</f>
        <v>محمد عبد الكريم</v>
      </c>
      <c r="E587" s="20">
        <v>0.41666666666666702</v>
      </c>
      <c r="F587" s="20">
        <v>0.91666666666666696</v>
      </c>
      <c r="G587" s="21" t="s">
        <v>69</v>
      </c>
      <c r="H587" s="20">
        <f t="shared" ref="H587:H591" si="300">E587</f>
        <v>0.41666666666666702</v>
      </c>
      <c r="I587" s="20">
        <v>0.93333333333333335</v>
      </c>
      <c r="J587" s="22">
        <f t="shared" ref="J587:J591" si="301">IF(OR(H587="",G587="غياب",G587="إجازة أسبوعية"),0,
IF(H587&gt;=E587-TIME(0,20,0),0,
IF(H587&gt;=E587-TIME(0,30,0),30,(E587-H587)*1440)))</f>
        <v>0</v>
      </c>
      <c r="K587" s="47">
        <f>(J587/60)*VLOOKUP(C587,Employees!A:J,10,0)*1.5</f>
        <v>0</v>
      </c>
      <c r="L587" s="22">
        <f t="shared" ref="L587:L591" si="302">IF(OR(H587="",G587="غياب",G587="إجازة أسبوعية"),0,
IF(H587&lt;=E587+TIME(0,30,0),0,
30+((H587-(E587+TIME(0,30,0)))*1440)))</f>
        <v>0</v>
      </c>
      <c r="M587" s="23">
        <f>(L587/60)*VLOOKUP(C587,Employees!A:J,10,0)*2</f>
        <v>0</v>
      </c>
      <c r="N587" s="24">
        <f t="shared" ref="N587:N591" si="303">IF(OR(I587="",G587="غياب",G587="إجازة أسبوعية",I587&lt;=F587),0,
IF(MOD(I587-F587,1)&lt;=TIME(0,25,0),0,MAX(0,(I587-F587)*1440)))</f>
        <v>0</v>
      </c>
      <c r="O587" s="25">
        <f>(N587/60)*VLOOKUP(C587,Employees!A:J,10,0)</f>
        <v>0</v>
      </c>
      <c r="P587" s="23">
        <f>IF(G587="غياب",VLOOKUP(C587,Employees!$A$3:$J$36,9,FALSE()),0)</f>
        <v>0</v>
      </c>
    </row>
    <row r="588" spans="1:16" ht="15" customHeight="1">
      <c r="A588" s="17" t="s">
        <v>91</v>
      </c>
      <c r="B588" s="19" t="s">
        <v>68</v>
      </c>
      <c r="C588" s="19" t="s">
        <v>40</v>
      </c>
      <c r="D588" s="19" t="str">
        <f>VLOOKUP(C588,Employees!A:J,2,0)</f>
        <v>محمد عبد الكريم</v>
      </c>
      <c r="E588" s="20">
        <v>0.41666666666666702</v>
      </c>
      <c r="F588" s="20">
        <v>0.91666666666666696</v>
      </c>
      <c r="G588" s="21" t="s">
        <v>69</v>
      </c>
      <c r="H588" s="20">
        <f t="shared" si="300"/>
        <v>0.41666666666666702</v>
      </c>
      <c r="I588" s="20">
        <v>0.91666666666666663</v>
      </c>
      <c r="J588" s="22">
        <f t="shared" si="301"/>
        <v>0</v>
      </c>
      <c r="K588" s="47">
        <f>(J588/60)*VLOOKUP(C588,Employees!A:J,10,0)*1.5</f>
        <v>0</v>
      </c>
      <c r="L588" s="22">
        <f t="shared" si="302"/>
        <v>0</v>
      </c>
      <c r="M588" s="23">
        <f>(L588/60)*VLOOKUP(C588,Employees!A:J,10,0)*2</f>
        <v>0</v>
      </c>
      <c r="N588" s="24">
        <f t="shared" si="303"/>
        <v>0</v>
      </c>
      <c r="O588" s="25">
        <f>(N588/60)*VLOOKUP(C588,Employees!A:J,10,0)</f>
        <v>0</v>
      </c>
      <c r="P588" s="23">
        <f>IF(G588="غياب",VLOOKUP(C588,Employees!$A$3:$J$36,9,FALSE()),0)</f>
        <v>0</v>
      </c>
    </row>
    <row r="589" spans="1:16" ht="15" customHeight="1">
      <c r="A589" s="17" t="s">
        <v>92</v>
      </c>
      <c r="B589" s="19" t="s">
        <v>71</v>
      </c>
      <c r="C589" s="19" t="s">
        <v>40</v>
      </c>
      <c r="D589" s="19" t="str">
        <f>VLOOKUP(C589,Employees!A:J,2,0)</f>
        <v>محمد عبد الكريم</v>
      </c>
      <c r="E589" s="20">
        <v>0.41666666666666702</v>
      </c>
      <c r="F589" s="20">
        <v>0.91666666666666696</v>
      </c>
      <c r="G589" s="21" t="s">
        <v>69</v>
      </c>
      <c r="H589" s="20">
        <f t="shared" si="300"/>
        <v>0.41666666666666702</v>
      </c>
      <c r="I589" s="20">
        <v>0.93611111111111112</v>
      </c>
      <c r="J589" s="22">
        <f t="shared" si="301"/>
        <v>0</v>
      </c>
      <c r="K589" s="47">
        <f>(J589/60)*VLOOKUP(C589,Employees!A:J,10,0)*1.5</f>
        <v>0</v>
      </c>
      <c r="L589" s="22">
        <f t="shared" si="302"/>
        <v>0</v>
      </c>
      <c r="M589" s="23">
        <f>(L589/60)*VLOOKUP(C589,Employees!A:J,10,0)*2</f>
        <v>0</v>
      </c>
      <c r="N589" s="24">
        <f t="shared" si="303"/>
        <v>27.999999999999581</v>
      </c>
      <c r="O589" s="25">
        <f>(N589/60)*VLOOKUP(C589,Employees!A:J,10,0)</f>
        <v>10.082304526748819</v>
      </c>
      <c r="P589" s="23">
        <f>IF(G589="غياب",VLOOKUP(C589,Employees!$A$3:$J$36,9,FALSE()),0)</f>
        <v>0</v>
      </c>
    </row>
    <row r="590" spans="1:16" ht="15" customHeight="1">
      <c r="A590" s="17" t="s">
        <v>93</v>
      </c>
      <c r="B590" s="19" t="s">
        <v>73</v>
      </c>
      <c r="C590" s="19" t="s">
        <v>40</v>
      </c>
      <c r="D590" s="19" t="str">
        <f>VLOOKUP(C590,Employees!A:J,2,0)</f>
        <v>محمد عبد الكريم</v>
      </c>
      <c r="E590" s="20">
        <v>0.41666666666666702</v>
      </c>
      <c r="F590" s="20">
        <v>0.91666666666666696</v>
      </c>
      <c r="G590" s="21" t="s">
        <v>69</v>
      </c>
      <c r="H590" s="20">
        <f t="shared" si="300"/>
        <v>0.41666666666666702</v>
      </c>
      <c r="I590" s="20">
        <v>0.91666666666666663</v>
      </c>
      <c r="J590" s="22">
        <f t="shared" si="301"/>
        <v>0</v>
      </c>
      <c r="K590" s="47">
        <f>(J590/60)*VLOOKUP(C590,Employees!A:J,10,0)*1.5</f>
        <v>0</v>
      </c>
      <c r="L590" s="22">
        <f t="shared" si="302"/>
        <v>0</v>
      </c>
      <c r="M590" s="23">
        <f>(L590/60)*VLOOKUP(C590,Employees!A:J,10,0)*2</f>
        <v>0</v>
      </c>
      <c r="N590" s="24">
        <f t="shared" si="303"/>
        <v>0</v>
      </c>
      <c r="O590" s="25">
        <f>(N590/60)*VLOOKUP(C590,Employees!A:J,10,0)</f>
        <v>0</v>
      </c>
      <c r="P590" s="23">
        <f>IF(G590="غياب",VLOOKUP(C590,Employees!$A$3:$J$36,9,FALSE()),0)</f>
        <v>0</v>
      </c>
    </row>
    <row r="591" spans="1:16" ht="15" customHeight="1">
      <c r="A591" s="17" t="s">
        <v>94</v>
      </c>
      <c r="B591" s="19" t="s">
        <v>75</v>
      </c>
      <c r="C591" s="19" t="s">
        <v>40</v>
      </c>
      <c r="D591" s="19" t="str">
        <f>VLOOKUP(C591,Employees!A:J,2,0)</f>
        <v>محمد عبد الكريم</v>
      </c>
      <c r="E591" s="20">
        <v>0.41666666666666702</v>
      </c>
      <c r="F591" s="20">
        <v>0.91666666666666696</v>
      </c>
      <c r="G591" s="21" t="s">
        <v>69</v>
      </c>
      <c r="H591" s="20">
        <f t="shared" si="300"/>
        <v>0.41666666666666702</v>
      </c>
      <c r="I591" s="20">
        <v>1.0173611111111112</v>
      </c>
      <c r="J591" s="22">
        <f t="shared" si="301"/>
        <v>0</v>
      </c>
      <c r="K591" s="47">
        <f>(J591/60)*VLOOKUP(C591,Employees!A:J,10,0)*1.5</f>
        <v>0</v>
      </c>
      <c r="L591" s="22">
        <f t="shared" si="302"/>
        <v>0</v>
      </c>
      <c r="M591" s="23">
        <f>(L591/60)*VLOOKUP(C591,Employees!A:J,10,0)*2</f>
        <v>0</v>
      </c>
      <c r="N591" s="24">
        <f t="shared" si="303"/>
        <v>144.99999999999966</v>
      </c>
      <c r="O591" s="25">
        <f>(N591/60)*VLOOKUP(C591,Employees!A:J,10,0)</f>
        <v>52.211934156378476</v>
      </c>
      <c r="P591" s="23">
        <f>IF(G591="غياب",VLOOKUP(C591,Employees!$A$3:$J$36,9,FALSE()),0)</f>
        <v>0</v>
      </c>
    </row>
    <row r="592" spans="1:16" ht="15" customHeight="1">
      <c r="A592" s="26" t="s">
        <v>95</v>
      </c>
      <c r="B592" s="28" t="s">
        <v>77</v>
      </c>
      <c r="C592" s="28" t="s">
        <v>40</v>
      </c>
      <c r="D592" s="28" t="str">
        <f>VLOOKUP(C592,Employees!A:J,2,0)</f>
        <v>محمد عبد الكريم</v>
      </c>
      <c r="E592" s="29" t="s">
        <v>78</v>
      </c>
      <c r="F592" s="29" t="s">
        <v>78</v>
      </c>
      <c r="G592" s="27" t="s">
        <v>79</v>
      </c>
      <c r="H592" s="29" t="s">
        <v>78</v>
      </c>
      <c r="I592" s="29" t="s">
        <v>78</v>
      </c>
      <c r="J592" s="22" t="s">
        <v>78</v>
      </c>
      <c r="K592" s="47" t="s">
        <v>78</v>
      </c>
      <c r="L592" s="22" t="s">
        <v>78</v>
      </c>
      <c r="M592" s="23" t="s">
        <v>78</v>
      </c>
      <c r="N592" s="24" t="s">
        <v>78</v>
      </c>
      <c r="O592" s="24" t="s">
        <v>78</v>
      </c>
      <c r="P592" s="23">
        <f>IF(G592="غياب",VLOOKUP(C592,Employees!$A$3:$J$36,9,FALSE()),0)</f>
        <v>0</v>
      </c>
    </row>
    <row r="593" spans="1:16" ht="15" customHeight="1">
      <c r="A593" s="17" t="s">
        <v>96</v>
      </c>
      <c r="B593" s="19" t="s">
        <v>81</v>
      </c>
      <c r="C593" s="19" t="s">
        <v>40</v>
      </c>
      <c r="D593" s="19" t="str">
        <f>VLOOKUP(C593,Employees!A:J,2,0)</f>
        <v>محمد عبد الكريم</v>
      </c>
      <c r="E593" s="20">
        <v>0.41666666666666702</v>
      </c>
      <c r="F593" s="20">
        <v>0.91666666666666696</v>
      </c>
      <c r="G593" s="21" t="s">
        <v>69</v>
      </c>
      <c r="H593" s="20">
        <f t="shared" ref="H593:H598" si="304">E593</f>
        <v>0.41666666666666702</v>
      </c>
      <c r="I593" s="20">
        <v>0.92083333333333328</v>
      </c>
      <c r="J593" s="22">
        <f t="shared" ref="J593:J598" si="305">IF(OR(H593="",G593="غياب",G593="إجازة أسبوعية"),0,
IF(H593&gt;=E593-TIME(0,20,0),0,
IF(H593&gt;=E593-TIME(0,30,0),30,(E593-H593)*1440)))</f>
        <v>0</v>
      </c>
      <c r="K593" s="47">
        <f>(J593/60)*VLOOKUP(C593,Employees!A:J,10,0)*1.5</f>
        <v>0</v>
      </c>
      <c r="L593" s="22">
        <f t="shared" ref="L593:L598" si="306">IF(OR(H593="",G593="غياب",G593="إجازة أسبوعية"),0,
IF(H593&lt;=E593+TIME(0,30,0),0,
30+((H593-(E593+TIME(0,30,0)))*1440)))</f>
        <v>0</v>
      </c>
      <c r="M593" s="23">
        <f>(L593/60)*VLOOKUP(C593,Employees!A:J,10,0)*2</f>
        <v>0</v>
      </c>
      <c r="N593" s="24">
        <f t="shared" ref="N593:N598" si="307">IF(OR(I593="",G593="غياب",G593="إجازة أسبوعية",I593&lt;=F593),0,
IF(MOD(I593-F593,1)&lt;=TIME(0,25,0),0,MAX(0,(I593-F593)*1440)))</f>
        <v>0</v>
      </c>
      <c r="O593" s="25">
        <f>(N593/60)*VLOOKUP(C593,Employees!A:J,10,0)</f>
        <v>0</v>
      </c>
      <c r="P593" s="23">
        <f>IF(G593="غياب",VLOOKUP(C593,Employees!$A$3:$J$36,9,FALSE()),0)</f>
        <v>0</v>
      </c>
    </row>
    <row r="594" spans="1:16" ht="15" customHeight="1">
      <c r="A594" s="17" t="s">
        <v>97</v>
      </c>
      <c r="B594" s="19" t="s">
        <v>83</v>
      </c>
      <c r="C594" s="19" t="s">
        <v>40</v>
      </c>
      <c r="D594" s="19" t="str">
        <f>VLOOKUP(C594,Employees!A:J,2,0)</f>
        <v>محمد عبد الكريم</v>
      </c>
      <c r="E594" s="20">
        <v>0.41666666666666702</v>
      </c>
      <c r="F594" s="20">
        <v>0.91666666666666696</v>
      </c>
      <c r="G594" s="21" t="s">
        <v>69</v>
      </c>
      <c r="H594" s="20">
        <f t="shared" si="304"/>
        <v>0.41666666666666702</v>
      </c>
      <c r="I594" s="20">
        <v>0.95625000000000004</v>
      </c>
      <c r="J594" s="22">
        <f t="shared" si="305"/>
        <v>0</v>
      </c>
      <c r="K594" s="47">
        <f>(J594/60)*VLOOKUP(C594,Employees!A:J,10,0)*1.5</f>
        <v>0</v>
      </c>
      <c r="L594" s="22">
        <f t="shared" si="306"/>
        <v>0</v>
      </c>
      <c r="M594" s="23">
        <f>(L594/60)*VLOOKUP(C594,Employees!A:J,10,0)*2</f>
        <v>0</v>
      </c>
      <c r="N594" s="24">
        <f t="shared" si="307"/>
        <v>56.999999999999638</v>
      </c>
      <c r="O594" s="25">
        <f>(N594/60)*VLOOKUP(C594,Employees!A:J,10,0)</f>
        <v>20.524691358024558</v>
      </c>
      <c r="P594" s="23">
        <f>IF(G594="غياب",VLOOKUP(C594,Employees!$A$3:$J$36,9,FALSE()),0)</f>
        <v>0</v>
      </c>
    </row>
    <row r="595" spans="1:16" ht="15" customHeight="1">
      <c r="A595" s="17" t="s">
        <v>98</v>
      </c>
      <c r="B595" s="19" t="s">
        <v>68</v>
      </c>
      <c r="C595" s="19" t="s">
        <v>40</v>
      </c>
      <c r="D595" s="19" t="str">
        <f>VLOOKUP(C595,Employees!A:J,2,0)</f>
        <v>محمد عبد الكريم</v>
      </c>
      <c r="E595" s="20">
        <v>0.41666666666666702</v>
      </c>
      <c r="F595" s="20">
        <v>0.91666666666666696</v>
      </c>
      <c r="G595" s="21" t="s">
        <v>69</v>
      </c>
      <c r="H595" s="20">
        <f t="shared" si="304"/>
        <v>0.41666666666666702</v>
      </c>
      <c r="I595" s="20">
        <v>0.93819444444444444</v>
      </c>
      <c r="J595" s="22">
        <f t="shared" si="305"/>
        <v>0</v>
      </c>
      <c r="K595" s="47">
        <f>(J595/60)*VLOOKUP(C595,Employees!A:J,10,0)*1.5</f>
        <v>0</v>
      </c>
      <c r="L595" s="22">
        <f t="shared" si="306"/>
        <v>0</v>
      </c>
      <c r="M595" s="23">
        <f>(L595/60)*VLOOKUP(C595,Employees!A:J,10,0)*2</f>
        <v>0</v>
      </c>
      <c r="N595" s="24">
        <f t="shared" si="307"/>
        <v>30.99999999999957</v>
      </c>
      <c r="O595" s="25">
        <f>(N595/60)*VLOOKUP(C595,Employees!A:J,10,0)</f>
        <v>11.162551440329063</v>
      </c>
      <c r="P595" s="23">
        <f>IF(G595="غياب",VLOOKUP(C595,Employees!$A$3:$J$36,9,FALSE()),0)</f>
        <v>0</v>
      </c>
    </row>
    <row r="596" spans="1:16" ht="15" customHeight="1">
      <c r="A596" s="17" t="s">
        <v>99</v>
      </c>
      <c r="B596" s="19" t="s">
        <v>71</v>
      </c>
      <c r="C596" s="19" t="s">
        <v>40</v>
      </c>
      <c r="D596" s="19" t="str">
        <f>VLOOKUP(C596,Employees!A:J,2,0)</f>
        <v>محمد عبد الكريم</v>
      </c>
      <c r="E596" s="20">
        <v>0.41666666666666702</v>
      </c>
      <c r="F596" s="20">
        <v>0.91666666666666696</v>
      </c>
      <c r="G596" s="21" t="s">
        <v>69</v>
      </c>
      <c r="H596" s="20">
        <f t="shared" si="304"/>
        <v>0.41666666666666702</v>
      </c>
      <c r="I596" s="20">
        <v>0.95902777777777781</v>
      </c>
      <c r="J596" s="22">
        <f t="shared" si="305"/>
        <v>0</v>
      </c>
      <c r="K596" s="47">
        <f>(J596/60)*VLOOKUP(C596,Employees!A:J,10,0)*1.5</f>
        <v>0</v>
      </c>
      <c r="L596" s="22">
        <f t="shared" si="306"/>
        <v>0</v>
      </c>
      <c r="M596" s="23">
        <f>(L596/60)*VLOOKUP(C596,Employees!A:J,10,0)*2</f>
        <v>0</v>
      </c>
      <c r="N596" s="24">
        <f t="shared" si="307"/>
        <v>60.999999999999623</v>
      </c>
      <c r="O596" s="25">
        <f>(N596/60)*VLOOKUP(C596,Employees!A:J,10,0)</f>
        <v>21.96502057613155</v>
      </c>
      <c r="P596" s="23">
        <f>IF(G596="غياب",VLOOKUP(C596,Employees!$A$3:$J$36,9,FALSE()),0)</f>
        <v>0</v>
      </c>
    </row>
    <row r="597" spans="1:16" ht="15" customHeight="1">
      <c r="A597" s="17" t="s">
        <v>100</v>
      </c>
      <c r="B597" s="19" t="s">
        <v>73</v>
      </c>
      <c r="C597" s="19" t="s">
        <v>40</v>
      </c>
      <c r="D597" s="19" t="str">
        <f>VLOOKUP(C597,Employees!A:J,2,0)</f>
        <v>محمد عبد الكريم</v>
      </c>
      <c r="E597" s="20">
        <v>0.375</v>
      </c>
      <c r="F597" s="20">
        <v>0.875</v>
      </c>
      <c r="G597" s="21" t="s">
        <v>69</v>
      </c>
      <c r="H597" s="20">
        <f t="shared" si="304"/>
        <v>0.375</v>
      </c>
      <c r="I597" s="20">
        <v>0.88402777777777775</v>
      </c>
      <c r="J597" s="22">
        <f t="shared" si="305"/>
        <v>0</v>
      </c>
      <c r="K597" s="47">
        <f>(J597/60)*VLOOKUP(C597,Employees!A:J,10,0)*1.5</f>
        <v>0</v>
      </c>
      <c r="L597" s="22">
        <f t="shared" si="306"/>
        <v>0</v>
      </c>
      <c r="M597" s="23">
        <f>(L597/60)*VLOOKUP(C597,Employees!A:J,10,0)*2</f>
        <v>0</v>
      </c>
      <c r="N597" s="24">
        <f t="shared" si="307"/>
        <v>0</v>
      </c>
      <c r="O597" s="25">
        <f>(N597/60)*VLOOKUP(C597,Employees!A:J,10,0)</f>
        <v>0</v>
      </c>
      <c r="P597" s="23">
        <f>IF(G597="غياب",VLOOKUP(C597,Employees!$A$3:$J$36,9,FALSE()),0)</f>
        <v>0</v>
      </c>
    </row>
    <row r="598" spans="1:16" ht="15" customHeight="1">
      <c r="A598" s="17" t="s">
        <v>101</v>
      </c>
      <c r="B598" s="19" t="s">
        <v>75</v>
      </c>
      <c r="C598" s="19" t="s">
        <v>40</v>
      </c>
      <c r="D598" s="19" t="str">
        <f>VLOOKUP(C598,Employees!A:J,2,0)</f>
        <v>محمد عبد الكريم</v>
      </c>
      <c r="E598" s="20">
        <v>0.375</v>
      </c>
      <c r="F598" s="20">
        <v>0.875</v>
      </c>
      <c r="G598" s="21" t="s">
        <v>69</v>
      </c>
      <c r="H598" s="20">
        <f t="shared" si="304"/>
        <v>0.375</v>
      </c>
      <c r="I598" s="20">
        <v>0.91111111111111109</v>
      </c>
      <c r="J598" s="22">
        <f t="shared" si="305"/>
        <v>0</v>
      </c>
      <c r="K598" s="47">
        <f>(J598/60)*VLOOKUP(C598,Employees!A:J,10,0)*1.5</f>
        <v>0</v>
      </c>
      <c r="L598" s="22">
        <f t="shared" si="306"/>
        <v>0</v>
      </c>
      <c r="M598" s="23">
        <f>(L598/60)*VLOOKUP(C598,Employees!A:J,10,0)*2</f>
        <v>0</v>
      </c>
      <c r="N598" s="24">
        <f t="shared" si="307"/>
        <v>51.999999999999972</v>
      </c>
      <c r="O598" s="25">
        <f>(N598/60)*VLOOKUP(C598,Employees!A:J,10,0)</f>
        <v>18.724279835390934</v>
      </c>
      <c r="P598" s="23">
        <f>IF(G598="غياب",VLOOKUP(C598,Employees!$A$3:$J$36,9,FALSE()),0)</f>
        <v>0</v>
      </c>
    </row>
    <row r="599" spans="1:16" ht="15" customHeight="1">
      <c r="A599" s="26" t="s">
        <v>102</v>
      </c>
      <c r="B599" s="28" t="s">
        <v>77</v>
      </c>
      <c r="C599" s="28" t="s">
        <v>40</v>
      </c>
      <c r="D599" s="28" t="str">
        <f>VLOOKUP(C599,Employees!A:J,2,0)</f>
        <v>محمد عبد الكريم</v>
      </c>
      <c r="E599" s="29" t="s">
        <v>78</v>
      </c>
      <c r="F599" s="29" t="s">
        <v>78</v>
      </c>
      <c r="G599" s="27" t="s">
        <v>79</v>
      </c>
      <c r="H599" s="29" t="s">
        <v>78</v>
      </c>
      <c r="I599" s="29" t="s">
        <v>78</v>
      </c>
      <c r="J599" s="22" t="s">
        <v>78</v>
      </c>
      <c r="K599" s="47" t="s">
        <v>78</v>
      </c>
      <c r="L599" s="22" t="s">
        <v>78</v>
      </c>
      <c r="M599" s="23" t="s">
        <v>78</v>
      </c>
      <c r="N599" s="24" t="s">
        <v>78</v>
      </c>
      <c r="O599" s="24" t="s">
        <v>78</v>
      </c>
      <c r="P599" s="23">
        <f>IF(G599="غياب",VLOOKUP(C599,Employees!$A$3:$J$36,9,FALSE()),0)</f>
        <v>0</v>
      </c>
    </row>
    <row r="600" spans="1:16" ht="15" customHeight="1">
      <c r="A600" s="17" t="s">
        <v>103</v>
      </c>
      <c r="B600" s="19" t="s">
        <v>81</v>
      </c>
      <c r="C600" s="19" t="s">
        <v>40</v>
      </c>
      <c r="D600" s="19" t="str">
        <f>VLOOKUP(C600,Employees!A:J,2,0)</f>
        <v>محمد عبد الكريم</v>
      </c>
      <c r="E600" s="20">
        <v>0.375</v>
      </c>
      <c r="F600" s="20">
        <v>0.875</v>
      </c>
      <c r="G600" s="21" t="s">
        <v>69</v>
      </c>
      <c r="H600" s="20">
        <f t="shared" ref="H600:H607" si="308">E600</f>
        <v>0.375</v>
      </c>
      <c r="I600" s="20">
        <v>0.92708333333333337</v>
      </c>
      <c r="J600" s="22">
        <f t="shared" ref="J600:J607" si="309">IF(OR(H600="",G600="غياب",G600="إجازة أسبوعية"),0,
IF(H600&gt;=E600-TIME(0,20,0),0,
IF(H600&gt;=E600-TIME(0,30,0),30,(E600-H600)*1440)))</f>
        <v>0</v>
      </c>
      <c r="K600" s="47">
        <f>(J600/60)*VLOOKUP(C600,Employees!A:J,10,0)*1.5</f>
        <v>0</v>
      </c>
      <c r="L600" s="22">
        <f t="shared" ref="L600:L607" si="310">IF(OR(H600="",G600="غياب",G600="إجازة أسبوعية"),0,
IF(H600&lt;=E600+TIME(0,30,0),0,
30+((H600-(E600+TIME(0,30,0)))*1440)))</f>
        <v>0</v>
      </c>
      <c r="M600" s="23">
        <f>(L600/60)*VLOOKUP(C600,Employees!A:J,10,0)*2</f>
        <v>0</v>
      </c>
      <c r="N600" s="24">
        <f t="shared" ref="N600:N607" si="311">IF(OR(I600="",G600="غياب",G600="إجازة أسبوعية",I600&lt;=F600),0,
IF(MOD(I600-F600,1)&lt;=TIME(0,25,0),0,MAX(0,(I600-F600)*1440)))</f>
        <v>75.000000000000057</v>
      </c>
      <c r="O600" s="25">
        <f>(N600/60)*VLOOKUP(C600,Employees!A:J,10,0)</f>
        <v>27.006172839506188</v>
      </c>
      <c r="P600" s="23">
        <f>IF(G600="غياب",VLOOKUP(C600,Employees!$A$3:$J$36,9,FALSE()),0)</f>
        <v>0</v>
      </c>
    </row>
    <row r="601" spans="1:16" ht="15" customHeight="1">
      <c r="A601" s="17" t="s">
        <v>104</v>
      </c>
      <c r="B601" s="19" t="s">
        <v>83</v>
      </c>
      <c r="C601" s="19" t="s">
        <v>40</v>
      </c>
      <c r="D601" s="19" t="str">
        <f>VLOOKUP(C601,Employees!A:J,2,0)</f>
        <v>محمد عبد الكريم</v>
      </c>
      <c r="E601" s="20">
        <v>0.375</v>
      </c>
      <c r="F601" s="20">
        <v>0.875</v>
      </c>
      <c r="G601" s="21" t="s">
        <v>69</v>
      </c>
      <c r="H601" s="20">
        <f t="shared" si="308"/>
        <v>0.375</v>
      </c>
      <c r="I601" s="20">
        <v>0.91666666666666663</v>
      </c>
      <c r="J601" s="22">
        <f t="shared" si="309"/>
        <v>0</v>
      </c>
      <c r="K601" s="47">
        <f>(J601/60)*VLOOKUP(C601,Employees!A:J,10,0)*1.5</f>
        <v>0</v>
      </c>
      <c r="L601" s="22">
        <f t="shared" si="310"/>
        <v>0</v>
      </c>
      <c r="M601" s="23">
        <f>(L601/60)*VLOOKUP(C601,Employees!A:J,10,0)*2</f>
        <v>0</v>
      </c>
      <c r="N601" s="24">
        <f t="shared" si="311"/>
        <v>59.999999999999943</v>
      </c>
      <c r="O601" s="25">
        <f>(N601/60)*VLOOKUP(C601,Employees!A:J,10,0)</f>
        <v>21.604938271604915</v>
      </c>
      <c r="P601" s="23">
        <f>IF(G601="غياب",VLOOKUP(C601,Employees!$A$3:$J$36,9,FALSE()),0)</f>
        <v>0</v>
      </c>
    </row>
    <row r="602" spans="1:16" ht="15" customHeight="1">
      <c r="A602" s="17" t="s">
        <v>105</v>
      </c>
      <c r="B602" s="19" t="s">
        <v>68</v>
      </c>
      <c r="C602" s="19" t="s">
        <v>40</v>
      </c>
      <c r="D602" s="19" t="str">
        <f>VLOOKUP(C602,Employees!A:J,2,0)</f>
        <v>محمد عبد الكريم</v>
      </c>
      <c r="E602" s="20">
        <v>0.375</v>
      </c>
      <c r="F602" s="20">
        <v>0.875</v>
      </c>
      <c r="G602" s="21" t="s">
        <v>69</v>
      </c>
      <c r="H602" s="20">
        <f t="shared" si="308"/>
        <v>0.375</v>
      </c>
      <c r="I602" s="20">
        <v>0.91597222222222219</v>
      </c>
      <c r="J602" s="22">
        <f t="shared" si="309"/>
        <v>0</v>
      </c>
      <c r="K602" s="47">
        <f>(J602/60)*VLOOKUP(C602,Employees!A:J,10,0)*1.5</f>
        <v>0</v>
      </c>
      <c r="L602" s="22">
        <f t="shared" si="310"/>
        <v>0</v>
      </c>
      <c r="M602" s="23">
        <f>(L602/60)*VLOOKUP(C602,Employees!A:J,10,0)*2</f>
        <v>0</v>
      </c>
      <c r="N602" s="24">
        <f t="shared" si="311"/>
        <v>58.99999999999995</v>
      </c>
      <c r="O602" s="25">
        <f>(N602/60)*VLOOKUP(C602,Employees!A:J,10,0)</f>
        <v>21.24485596707817</v>
      </c>
      <c r="P602" s="23">
        <f>IF(G602="غياب",VLOOKUP(C602,Employees!$A$3:$J$36,9,FALSE()),0)</f>
        <v>0</v>
      </c>
    </row>
    <row r="603" spans="1:16" ht="15" customHeight="1">
      <c r="A603" s="17" t="s">
        <v>106</v>
      </c>
      <c r="B603" s="19" t="s">
        <v>71</v>
      </c>
      <c r="C603" s="19" t="s">
        <v>40</v>
      </c>
      <c r="D603" s="19" t="str">
        <f>VLOOKUP(C603,Employees!A:J,2,0)</f>
        <v>محمد عبد الكريم</v>
      </c>
      <c r="E603" s="20">
        <v>0.375</v>
      </c>
      <c r="F603" s="20">
        <v>0.875</v>
      </c>
      <c r="G603" s="21" t="s">
        <v>69</v>
      </c>
      <c r="H603" s="20">
        <f t="shared" si="308"/>
        <v>0.375</v>
      </c>
      <c r="I603" s="20">
        <v>0.8833333333333333</v>
      </c>
      <c r="J603" s="22">
        <f t="shared" si="309"/>
        <v>0</v>
      </c>
      <c r="K603" s="47">
        <f>(J603/60)*VLOOKUP(C603,Employees!A:J,10,0)*1.5</f>
        <v>0</v>
      </c>
      <c r="L603" s="22">
        <f t="shared" si="310"/>
        <v>0</v>
      </c>
      <c r="M603" s="23">
        <f>(L603/60)*VLOOKUP(C603,Employees!A:J,10,0)*2</f>
        <v>0</v>
      </c>
      <c r="N603" s="24">
        <f t="shared" si="311"/>
        <v>0</v>
      </c>
      <c r="O603" s="25">
        <f>(N603/60)*VLOOKUP(C603,Employees!A:J,10,0)</f>
        <v>0</v>
      </c>
      <c r="P603" s="23">
        <f>IF(G603="غياب",VLOOKUP(C603,Employees!$A$3:$J$36,9,FALSE()),0)</f>
        <v>0</v>
      </c>
    </row>
    <row r="604" spans="1:16" ht="15" customHeight="1">
      <c r="A604" s="17" t="s">
        <v>67</v>
      </c>
      <c r="B604" s="19" t="s">
        <v>68</v>
      </c>
      <c r="C604" s="19" t="s">
        <v>41</v>
      </c>
      <c r="D604" s="19" t="str">
        <f>VLOOKUP(C604,Employees!A:J,2,0)</f>
        <v>عبدالرحمن على</v>
      </c>
      <c r="E604" s="20">
        <v>0.375</v>
      </c>
      <c r="F604" s="20">
        <v>0.875</v>
      </c>
      <c r="G604" s="21" t="s">
        <v>69</v>
      </c>
      <c r="H604" s="20">
        <f t="shared" si="308"/>
        <v>0.375</v>
      </c>
      <c r="I604" s="20">
        <v>0.8569444444444444</v>
      </c>
      <c r="J604" s="22">
        <f t="shared" si="309"/>
        <v>0</v>
      </c>
      <c r="K604" s="47">
        <f>(J604/60)*VLOOKUP(C604,Employees!A:J,10,0)*1.5</f>
        <v>0</v>
      </c>
      <c r="L604" s="22">
        <f t="shared" si="310"/>
        <v>0</v>
      </c>
      <c r="M604" s="23">
        <f>(L604/60)*VLOOKUP(C604,Employees!A:J,10,0)*2</f>
        <v>0</v>
      </c>
      <c r="N604" s="24">
        <f t="shared" si="311"/>
        <v>0</v>
      </c>
      <c r="O604" s="25">
        <f>(N604/60)*VLOOKUP(C604,Employees!A:J,10,0)</f>
        <v>0</v>
      </c>
      <c r="P604" s="23">
        <f>IF(G604="غياب",VLOOKUP(C604,Employees!$A$3:$J$36,9,FALSE()),0)</f>
        <v>0</v>
      </c>
    </row>
    <row r="605" spans="1:16" ht="15" customHeight="1">
      <c r="A605" s="17" t="s">
        <v>70</v>
      </c>
      <c r="B605" s="19" t="s">
        <v>71</v>
      </c>
      <c r="C605" s="19" t="s">
        <v>41</v>
      </c>
      <c r="D605" s="19" t="str">
        <f>VLOOKUP(C605,Employees!A:J,2,0)</f>
        <v>عبدالرحمن على</v>
      </c>
      <c r="E605" s="20">
        <v>0.375</v>
      </c>
      <c r="F605" s="20">
        <v>0.875</v>
      </c>
      <c r="G605" s="21" t="s">
        <v>69</v>
      </c>
      <c r="H605" s="20">
        <f t="shared" si="308"/>
        <v>0.375</v>
      </c>
      <c r="I605" s="20">
        <v>0.86388888888888893</v>
      </c>
      <c r="J605" s="22">
        <f t="shared" si="309"/>
        <v>0</v>
      </c>
      <c r="K605" s="47">
        <f>(J605/60)*VLOOKUP(C605,Employees!A:J,10,0)*1.5</f>
        <v>0</v>
      </c>
      <c r="L605" s="22">
        <f t="shared" si="310"/>
        <v>0</v>
      </c>
      <c r="M605" s="23">
        <f>(L605/60)*VLOOKUP(C605,Employees!A:J,10,0)*2</f>
        <v>0</v>
      </c>
      <c r="N605" s="24">
        <f t="shared" si="311"/>
        <v>0</v>
      </c>
      <c r="O605" s="25">
        <f>(N605/60)*VLOOKUP(C605,Employees!A:J,10,0)</f>
        <v>0</v>
      </c>
      <c r="P605" s="23">
        <f>IF(G605="غياب",VLOOKUP(C605,Employees!$A$3:$J$36,9,FALSE()),0)</f>
        <v>0</v>
      </c>
    </row>
    <row r="606" spans="1:16" ht="15" customHeight="1">
      <c r="A606" s="17" t="s">
        <v>72</v>
      </c>
      <c r="B606" s="19" t="s">
        <v>73</v>
      </c>
      <c r="C606" s="19" t="s">
        <v>41</v>
      </c>
      <c r="D606" s="19" t="str">
        <f>VLOOKUP(C606,Employees!A:J,2,0)</f>
        <v>عبدالرحمن على</v>
      </c>
      <c r="E606" s="20">
        <v>0.375</v>
      </c>
      <c r="F606" s="20">
        <v>0.875</v>
      </c>
      <c r="G606" s="21" t="s">
        <v>69</v>
      </c>
      <c r="H606" s="20">
        <f t="shared" si="308"/>
        <v>0.375</v>
      </c>
      <c r="I606" s="20">
        <v>0.88124999999999998</v>
      </c>
      <c r="J606" s="22">
        <f t="shared" si="309"/>
        <v>0</v>
      </c>
      <c r="K606" s="47">
        <f>(J606/60)*VLOOKUP(C606,Employees!A:J,10,0)*1.5</f>
        <v>0</v>
      </c>
      <c r="L606" s="22">
        <f t="shared" si="310"/>
        <v>0</v>
      </c>
      <c r="M606" s="23">
        <f>(L606/60)*VLOOKUP(C606,Employees!A:J,10,0)*2</f>
        <v>0</v>
      </c>
      <c r="N606" s="24">
        <f t="shared" si="311"/>
        <v>0</v>
      </c>
      <c r="O606" s="25">
        <f>(N606/60)*VLOOKUP(C606,Employees!A:J,10,0)</f>
        <v>0</v>
      </c>
      <c r="P606" s="23">
        <f>IF(G606="غياب",VLOOKUP(C606,Employees!$A$3:$J$36,9,FALSE()),0)</f>
        <v>0</v>
      </c>
    </row>
    <row r="607" spans="1:16" ht="15" customHeight="1">
      <c r="A607" s="17" t="s">
        <v>74</v>
      </c>
      <c r="B607" s="19" t="s">
        <v>75</v>
      </c>
      <c r="C607" s="19" t="s">
        <v>41</v>
      </c>
      <c r="D607" s="19" t="str">
        <f>VLOOKUP(C607,Employees!A:J,2,0)</f>
        <v>عبدالرحمن على</v>
      </c>
      <c r="E607" s="20">
        <v>0.375</v>
      </c>
      <c r="F607" s="20">
        <v>0.875</v>
      </c>
      <c r="G607" s="21" t="s">
        <v>69</v>
      </c>
      <c r="H607" s="20">
        <f t="shared" si="308"/>
        <v>0.375</v>
      </c>
      <c r="I607" s="20">
        <v>0.86041666666666672</v>
      </c>
      <c r="J607" s="22">
        <f t="shared" si="309"/>
        <v>0</v>
      </c>
      <c r="K607" s="47">
        <f>(J607/60)*VLOOKUP(C607,Employees!A:J,10,0)*1.5</f>
        <v>0</v>
      </c>
      <c r="L607" s="22">
        <f t="shared" si="310"/>
        <v>0</v>
      </c>
      <c r="M607" s="23">
        <f>(L607/60)*VLOOKUP(C607,Employees!A:J,10,0)*2</f>
        <v>0</v>
      </c>
      <c r="N607" s="24">
        <f t="shared" si="311"/>
        <v>0</v>
      </c>
      <c r="O607" s="25">
        <f>(N607/60)*VLOOKUP(C607,Employees!A:J,10,0)</f>
        <v>0</v>
      </c>
      <c r="P607" s="23">
        <f>IF(G607="غياب",VLOOKUP(C607,Employees!$A$3:$J$36,9,FALSE()),0)</f>
        <v>0</v>
      </c>
    </row>
    <row r="608" spans="1:16" ht="15" customHeight="1">
      <c r="A608" s="26" t="s">
        <v>76</v>
      </c>
      <c r="B608" s="28" t="s">
        <v>77</v>
      </c>
      <c r="C608" s="28" t="s">
        <v>41</v>
      </c>
      <c r="D608" s="28" t="str">
        <f>VLOOKUP(C608,Employees!A:J,2,0)</f>
        <v>عبدالرحمن على</v>
      </c>
      <c r="E608" s="29" t="s">
        <v>78</v>
      </c>
      <c r="F608" s="29" t="s">
        <v>78</v>
      </c>
      <c r="G608" s="27" t="s">
        <v>79</v>
      </c>
      <c r="H608" s="29" t="s">
        <v>78</v>
      </c>
      <c r="I608" s="29" t="s">
        <v>78</v>
      </c>
      <c r="J608" s="22" t="s">
        <v>78</v>
      </c>
      <c r="K608" s="47" t="s">
        <v>78</v>
      </c>
      <c r="L608" s="22" t="s">
        <v>78</v>
      </c>
      <c r="M608" s="23" t="s">
        <v>78</v>
      </c>
      <c r="N608" s="24" t="s">
        <v>78</v>
      </c>
      <c r="O608" s="24" t="s">
        <v>78</v>
      </c>
      <c r="P608" s="23">
        <f>IF(G608="غياب",VLOOKUP(C608,Employees!$A$3:$J$36,9,FALSE()),0)</f>
        <v>0</v>
      </c>
    </row>
    <row r="609" spans="1:16" ht="15" customHeight="1">
      <c r="A609" s="17" t="s">
        <v>80</v>
      </c>
      <c r="B609" s="19" t="s">
        <v>81</v>
      </c>
      <c r="C609" s="19" t="s">
        <v>41</v>
      </c>
      <c r="D609" s="19" t="str">
        <f>VLOOKUP(C609,Employees!A:J,2,0)</f>
        <v>عبدالرحمن على</v>
      </c>
      <c r="E609" s="20">
        <v>0.375</v>
      </c>
      <c r="F609" s="20">
        <v>0.875</v>
      </c>
      <c r="G609" s="21" t="s">
        <v>69</v>
      </c>
      <c r="H609" s="20">
        <f t="shared" ref="H609:H614" si="312">E609</f>
        <v>0.375</v>
      </c>
      <c r="I609" s="20">
        <v>0.86736111111111114</v>
      </c>
      <c r="J609" s="22">
        <f t="shared" ref="J609:J614" si="313">IF(OR(H609="",G609="غياب",G609="إجازة أسبوعية"),0,
IF(H609&gt;=E609-TIME(0,20,0),0,
IF(H609&gt;=E609-TIME(0,30,0),30,(E609-H609)*1440)))</f>
        <v>0</v>
      </c>
      <c r="K609" s="47">
        <f>(J609/60)*VLOOKUP(C609,Employees!A:J,10,0)*1.5</f>
        <v>0</v>
      </c>
      <c r="L609" s="22">
        <f t="shared" ref="L609:L614" si="314">IF(OR(H609="",G609="غياب",G609="إجازة أسبوعية"),0,
IF(H609&lt;=E609+TIME(0,30,0),0,
30+((H609-(E609+TIME(0,30,0)))*1440)))</f>
        <v>0</v>
      </c>
      <c r="M609" s="23">
        <f>(L609/60)*VLOOKUP(C609,Employees!A:J,10,0)*2</f>
        <v>0</v>
      </c>
      <c r="N609" s="24">
        <f t="shared" ref="N609:N614" si="315">IF(OR(I609="",G609="غياب",G609="إجازة أسبوعية",I609&lt;=F609),0,
IF(MOD(I609-F609,1)&lt;=TIME(0,25,0),0,MAX(0,(I609-F609)*1440)))</f>
        <v>0</v>
      </c>
      <c r="O609" s="25">
        <f>(N609/60)*VLOOKUP(C609,Employees!A:J,10,0)</f>
        <v>0</v>
      </c>
      <c r="P609" s="23">
        <f>IF(G609="غياب",VLOOKUP(C609,Employees!$A$3:$J$36,9,FALSE()),0)</f>
        <v>0</v>
      </c>
    </row>
    <row r="610" spans="1:16" ht="15" customHeight="1">
      <c r="A610" s="17" t="s">
        <v>82</v>
      </c>
      <c r="B610" s="19" t="s">
        <v>83</v>
      </c>
      <c r="C610" s="19" t="s">
        <v>41</v>
      </c>
      <c r="D610" s="19" t="str">
        <f>VLOOKUP(C610,Employees!A:J,2,0)</f>
        <v>عبدالرحمن على</v>
      </c>
      <c r="E610" s="20">
        <v>0.375</v>
      </c>
      <c r="F610" s="20">
        <v>0.875</v>
      </c>
      <c r="G610" s="21" t="s">
        <v>69</v>
      </c>
      <c r="H610" s="20">
        <f t="shared" si="312"/>
        <v>0.375</v>
      </c>
      <c r="I610" s="20">
        <v>0.87222222222222223</v>
      </c>
      <c r="J610" s="22">
        <f t="shared" si="313"/>
        <v>0</v>
      </c>
      <c r="K610" s="47">
        <f>(J610/60)*VLOOKUP(C610,Employees!A:J,10,0)*1.5</f>
        <v>0</v>
      </c>
      <c r="L610" s="22">
        <f t="shared" si="314"/>
        <v>0</v>
      </c>
      <c r="M610" s="23">
        <f>(L610/60)*VLOOKUP(C610,Employees!A:J,10,0)*2</f>
        <v>0</v>
      </c>
      <c r="N610" s="24">
        <f t="shared" si="315"/>
        <v>0</v>
      </c>
      <c r="O610" s="25">
        <f>(N610/60)*VLOOKUP(C610,Employees!A:J,10,0)</f>
        <v>0</v>
      </c>
      <c r="P610" s="23">
        <f>IF(G610="غياب",VLOOKUP(C610,Employees!$A$3:$J$36,9,FALSE()),0)</f>
        <v>0</v>
      </c>
    </row>
    <row r="611" spans="1:16" ht="15" customHeight="1">
      <c r="A611" s="17" t="s">
        <v>84</v>
      </c>
      <c r="B611" s="19" t="s">
        <v>68</v>
      </c>
      <c r="C611" s="19" t="s">
        <v>41</v>
      </c>
      <c r="D611" s="19" t="str">
        <f>VLOOKUP(C611,Employees!A:J,2,0)</f>
        <v>عبدالرحمن على</v>
      </c>
      <c r="E611" s="20">
        <v>0.375</v>
      </c>
      <c r="F611" s="20">
        <v>0.875</v>
      </c>
      <c r="G611" s="21" t="s">
        <v>69</v>
      </c>
      <c r="H611" s="20">
        <f t="shared" si="312"/>
        <v>0.375</v>
      </c>
      <c r="I611" s="20">
        <v>0.97152777777777777</v>
      </c>
      <c r="J611" s="22">
        <f t="shared" si="313"/>
        <v>0</v>
      </c>
      <c r="K611" s="47">
        <f>(J611/60)*VLOOKUP(C611,Employees!A:J,10,0)*1.5</f>
        <v>0</v>
      </c>
      <c r="L611" s="22">
        <f t="shared" si="314"/>
        <v>0</v>
      </c>
      <c r="M611" s="23">
        <f>(L611/60)*VLOOKUP(C611,Employees!A:J,10,0)*2</f>
        <v>0</v>
      </c>
      <c r="N611" s="24">
        <f t="shared" si="315"/>
        <v>139</v>
      </c>
      <c r="O611" s="25">
        <f>(N611/60)*VLOOKUP(C611,Employees!A:J,10,0)</f>
        <v>50.05144032921811</v>
      </c>
      <c r="P611" s="23">
        <f>IF(G611="غياب",VLOOKUP(C611,Employees!$A$3:$J$36,9,FALSE()),0)</f>
        <v>0</v>
      </c>
    </row>
    <row r="612" spans="1:16" ht="15" customHeight="1">
      <c r="A612" s="17" t="s">
        <v>85</v>
      </c>
      <c r="B612" s="19" t="s">
        <v>71</v>
      </c>
      <c r="C612" s="19" t="s">
        <v>41</v>
      </c>
      <c r="D612" s="19" t="str">
        <f>VLOOKUP(C612,Employees!A:J,2,0)</f>
        <v>عبدالرحمن على</v>
      </c>
      <c r="E612" s="20">
        <v>0.375</v>
      </c>
      <c r="F612" s="20">
        <v>0.875</v>
      </c>
      <c r="G612" s="21" t="s">
        <v>69</v>
      </c>
      <c r="H612" s="20">
        <f t="shared" si="312"/>
        <v>0.375</v>
      </c>
      <c r="I612" s="20">
        <v>0.91041666666666665</v>
      </c>
      <c r="J612" s="22">
        <f t="shared" si="313"/>
        <v>0</v>
      </c>
      <c r="K612" s="47">
        <f>(J612/60)*VLOOKUP(C612,Employees!A:J,10,0)*1.5</f>
        <v>0</v>
      </c>
      <c r="L612" s="22">
        <f t="shared" si="314"/>
        <v>0</v>
      </c>
      <c r="M612" s="23">
        <f>(L612/60)*VLOOKUP(C612,Employees!A:J,10,0)*2</f>
        <v>0</v>
      </c>
      <c r="N612" s="24">
        <f t="shared" si="315"/>
        <v>50.999999999999979</v>
      </c>
      <c r="O612" s="25">
        <f>(N612/60)*VLOOKUP(C612,Employees!A:J,10,0)</f>
        <v>18.364197530864189</v>
      </c>
      <c r="P612" s="23">
        <f>IF(G612="غياب",VLOOKUP(C612,Employees!$A$3:$J$36,9,FALSE()),0)</f>
        <v>0</v>
      </c>
    </row>
    <row r="613" spans="1:16" ht="15" customHeight="1">
      <c r="A613" s="17" t="s">
        <v>86</v>
      </c>
      <c r="B613" s="19" t="s">
        <v>73</v>
      </c>
      <c r="C613" s="19" t="s">
        <v>41</v>
      </c>
      <c r="D613" s="19" t="str">
        <f>VLOOKUP(C613,Employees!A:J,2,0)</f>
        <v>عبدالرحمن على</v>
      </c>
      <c r="E613" s="20">
        <v>0.375</v>
      </c>
      <c r="F613" s="20">
        <v>0.875</v>
      </c>
      <c r="G613" s="21" t="s">
        <v>69</v>
      </c>
      <c r="H613" s="20">
        <f t="shared" si="312"/>
        <v>0.375</v>
      </c>
      <c r="I613" s="20">
        <v>0.91041666666666665</v>
      </c>
      <c r="J613" s="22">
        <f t="shared" si="313"/>
        <v>0</v>
      </c>
      <c r="K613" s="47">
        <f>(J613/60)*VLOOKUP(C613,Employees!A:J,10,0)*1.5</f>
        <v>0</v>
      </c>
      <c r="L613" s="22">
        <f t="shared" si="314"/>
        <v>0</v>
      </c>
      <c r="M613" s="23">
        <f>(L613/60)*VLOOKUP(C613,Employees!A:J,10,0)*2</f>
        <v>0</v>
      </c>
      <c r="N613" s="24">
        <f t="shared" si="315"/>
        <v>50.999999999999979</v>
      </c>
      <c r="O613" s="25">
        <f>(N613/60)*VLOOKUP(C613,Employees!A:J,10,0)</f>
        <v>18.364197530864189</v>
      </c>
      <c r="P613" s="23">
        <f>IF(G613="غياب",VLOOKUP(C613,Employees!$A$3:$J$36,9,FALSE()),0)</f>
        <v>0</v>
      </c>
    </row>
    <row r="614" spans="1:16" ht="15" customHeight="1">
      <c r="A614" s="17" t="s">
        <v>87</v>
      </c>
      <c r="B614" s="19" t="s">
        <v>75</v>
      </c>
      <c r="C614" s="19" t="s">
        <v>41</v>
      </c>
      <c r="D614" s="19" t="str">
        <f>VLOOKUP(C614,Employees!A:J,2,0)</f>
        <v>عبدالرحمن على</v>
      </c>
      <c r="E614" s="20">
        <v>0.41666666666666702</v>
      </c>
      <c r="F614" s="20">
        <v>0.91666666666666696</v>
      </c>
      <c r="G614" s="21" t="s">
        <v>69</v>
      </c>
      <c r="H614" s="20">
        <f t="shared" si="312"/>
        <v>0.41666666666666702</v>
      </c>
      <c r="I614" s="20">
        <v>0.91527777777777775</v>
      </c>
      <c r="J614" s="22">
        <f t="shared" si="313"/>
        <v>0</v>
      </c>
      <c r="K614" s="47">
        <f>(J614/60)*VLOOKUP(C614,Employees!A:J,10,0)*1.5</f>
        <v>0</v>
      </c>
      <c r="L614" s="22">
        <f t="shared" si="314"/>
        <v>0</v>
      </c>
      <c r="M614" s="23">
        <f>(L614/60)*VLOOKUP(C614,Employees!A:J,10,0)*2</f>
        <v>0</v>
      </c>
      <c r="N614" s="24">
        <f t="shared" si="315"/>
        <v>0</v>
      </c>
      <c r="O614" s="25">
        <f>(N614/60)*VLOOKUP(C614,Employees!A:J,10,0)</f>
        <v>0</v>
      </c>
      <c r="P614" s="23">
        <f>IF(G614="غياب",VLOOKUP(C614,Employees!$A$3:$J$36,9,FALSE()),0)</f>
        <v>0</v>
      </c>
    </row>
    <row r="615" spans="1:16" ht="15" customHeight="1">
      <c r="A615" s="26" t="s">
        <v>88</v>
      </c>
      <c r="B615" s="28" t="s">
        <v>77</v>
      </c>
      <c r="C615" s="28" t="s">
        <v>41</v>
      </c>
      <c r="D615" s="28" t="str">
        <f>VLOOKUP(C615,Employees!A:J,2,0)</f>
        <v>عبدالرحمن على</v>
      </c>
      <c r="E615" s="29" t="s">
        <v>78</v>
      </c>
      <c r="F615" s="29" t="s">
        <v>78</v>
      </c>
      <c r="G615" s="27" t="s">
        <v>79</v>
      </c>
      <c r="H615" s="29" t="s">
        <v>78</v>
      </c>
      <c r="I615" s="29" t="s">
        <v>78</v>
      </c>
      <c r="J615" s="22" t="s">
        <v>78</v>
      </c>
      <c r="K615" s="47" t="s">
        <v>78</v>
      </c>
      <c r="L615" s="22" t="s">
        <v>78</v>
      </c>
      <c r="M615" s="23" t="s">
        <v>78</v>
      </c>
      <c r="N615" s="24" t="s">
        <v>78</v>
      </c>
      <c r="O615" s="24" t="s">
        <v>78</v>
      </c>
      <c r="P615" s="23">
        <f>IF(G615="غياب",VLOOKUP(C615,Employees!$A$3:$J$36,9,FALSE()),0)</f>
        <v>0</v>
      </c>
    </row>
    <row r="616" spans="1:16" ht="15" customHeight="1">
      <c r="A616" s="26" t="s">
        <v>89</v>
      </c>
      <c r="B616" s="28" t="s">
        <v>81</v>
      </c>
      <c r="C616" s="28" t="s">
        <v>41</v>
      </c>
      <c r="D616" s="28" t="str">
        <f>VLOOKUP(C616,Employees!A:J,2,0)</f>
        <v>عبدالرحمن على</v>
      </c>
      <c r="E616" s="29" t="s">
        <v>78</v>
      </c>
      <c r="F616" s="29" t="s">
        <v>78</v>
      </c>
      <c r="G616" s="27" t="s">
        <v>79</v>
      </c>
      <c r="H616" s="29" t="s">
        <v>78</v>
      </c>
      <c r="I616" s="29" t="s">
        <v>78</v>
      </c>
      <c r="J616" s="22" t="s">
        <v>78</v>
      </c>
      <c r="K616" s="47" t="s">
        <v>78</v>
      </c>
      <c r="L616" s="22" t="s">
        <v>78</v>
      </c>
      <c r="M616" s="23" t="s">
        <v>78</v>
      </c>
      <c r="N616" s="24" t="s">
        <v>78</v>
      </c>
      <c r="O616" s="24" t="s">
        <v>78</v>
      </c>
      <c r="P616" s="23">
        <f>IF(G616="غياب",VLOOKUP(C616,Employees!$A$3:$J$36,9,FALSE()),0)</f>
        <v>0</v>
      </c>
    </row>
    <row r="617" spans="1:16" ht="15" customHeight="1">
      <c r="A617" s="17" t="s">
        <v>90</v>
      </c>
      <c r="B617" s="19" t="s">
        <v>83</v>
      </c>
      <c r="C617" s="19" t="s">
        <v>41</v>
      </c>
      <c r="D617" s="19" t="str">
        <f>VLOOKUP(C617,Employees!A:J,2,0)</f>
        <v>عبدالرحمن على</v>
      </c>
      <c r="E617" s="20">
        <v>0.41666666666666702</v>
      </c>
      <c r="F617" s="20">
        <v>0.91666666666666696</v>
      </c>
      <c r="G617" s="21" t="s">
        <v>69</v>
      </c>
      <c r="H617" s="20">
        <f t="shared" ref="H617:H621" si="316">E617</f>
        <v>0.41666666666666702</v>
      </c>
      <c r="I617" s="20">
        <v>0.93263888888888891</v>
      </c>
      <c r="J617" s="22">
        <f t="shared" ref="J617:J621" si="317">IF(OR(H617="",G617="غياب",G617="إجازة أسبوعية"),0,
IF(H617&gt;=E617-TIME(0,20,0),0,
IF(H617&gt;=E617-TIME(0,30,0),30,(E617-H617)*1440)))</f>
        <v>0</v>
      </c>
      <c r="K617" s="47">
        <f>(J617/60)*VLOOKUP(C617,Employees!A:J,10,0)*1.5</f>
        <v>0</v>
      </c>
      <c r="L617" s="22">
        <f t="shared" ref="L617:L621" si="318">IF(OR(H617="",G617="غياب",G617="إجازة أسبوعية"),0,
IF(H617&lt;=E617+TIME(0,30,0),0,
30+((H617-(E617+TIME(0,30,0)))*1440)))</f>
        <v>0</v>
      </c>
      <c r="M617" s="23">
        <f>(L617/60)*VLOOKUP(C617,Employees!A:J,10,0)*2</f>
        <v>0</v>
      </c>
      <c r="N617" s="24">
        <f t="shared" ref="N617:N621" si="319">IF(OR(I617="",G617="غياب",G617="إجازة أسبوعية",I617&lt;=F617),0,
IF(MOD(I617-F617,1)&lt;=TIME(0,25,0),0,MAX(0,(I617-F617)*1440)))</f>
        <v>0</v>
      </c>
      <c r="O617" s="25">
        <f>(N617/60)*VLOOKUP(C617,Employees!A:J,10,0)</f>
        <v>0</v>
      </c>
      <c r="P617" s="23">
        <f>IF(G617="غياب",VLOOKUP(C617,Employees!$A$3:$J$36,9,FALSE()),0)</f>
        <v>0</v>
      </c>
    </row>
    <row r="618" spans="1:16" ht="15" customHeight="1">
      <c r="A618" s="17" t="s">
        <v>91</v>
      </c>
      <c r="B618" s="19" t="s">
        <v>68</v>
      </c>
      <c r="C618" s="19" t="s">
        <v>41</v>
      </c>
      <c r="D618" s="19" t="str">
        <f>VLOOKUP(C618,Employees!A:J,2,0)</f>
        <v>عبدالرحمن على</v>
      </c>
      <c r="E618" s="20">
        <v>0.41666666666666702</v>
      </c>
      <c r="F618" s="20">
        <v>0.91666666666666696</v>
      </c>
      <c r="G618" s="21" t="s">
        <v>69</v>
      </c>
      <c r="H618" s="20">
        <f t="shared" si="316"/>
        <v>0.41666666666666702</v>
      </c>
      <c r="I618" s="20">
        <v>0.91666666666666663</v>
      </c>
      <c r="J618" s="22">
        <f t="shared" si="317"/>
        <v>0</v>
      </c>
      <c r="K618" s="47">
        <f>(J618/60)*VLOOKUP(C618,Employees!A:J,10,0)*1.5</f>
        <v>0</v>
      </c>
      <c r="L618" s="22">
        <f t="shared" si="318"/>
        <v>0</v>
      </c>
      <c r="M618" s="23">
        <f>(L618/60)*VLOOKUP(C618,Employees!A:J,10,0)*2</f>
        <v>0</v>
      </c>
      <c r="N618" s="24">
        <f t="shared" si="319"/>
        <v>0</v>
      </c>
      <c r="O618" s="25">
        <f>(N618/60)*VLOOKUP(C618,Employees!A:J,10,0)</f>
        <v>0</v>
      </c>
      <c r="P618" s="23">
        <f>IF(G618="غياب",VLOOKUP(C618,Employees!$A$3:$J$36,9,FALSE()),0)</f>
        <v>0</v>
      </c>
    </row>
    <row r="619" spans="1:16" ht="15" customHeight="1">
      <c r="A619" s="17" t="s">
        <v>92</v>
      </c>
      <c r="B619" s="19" t="s">
        <v>71</v>
      </c>
      <c r="C619" s="19" t="s">
        <v>41</v>
      </c>
      <c r="D619" s="19" t="str">
        <f>VLOOKUP(C619,Employees!A:J,2,0)</f>
        <v>عبدالرحمن على</v>
      </c>
      <c r="E619" s="20">
        <v>0.41666666666666702</v>
      </c>
      <c r="F619" s="20">
        <v>0.91666666666666696</v>
      </c>
      <c r="G619" s="21" t="s">
        <v>69</v>
      </c>
      <c r="H619" s="20">
        <f t="shared" si="316"/>
        <v>0.41666666666666702</v>
      </c>
      <c r="I619" s="20">
        <v>0.93333333333333335</v>
      </c>
      <c r="J619" s="22">
        <f t="shared" si="317"/>
        <v>0</v>
      </c>
      <c r="K619" s="47">
        <f>(J619/60)*VLOOKUP(C619,Employees!A:J,10,0)*1.5</f>
        <v>0</v>
      </c>
      <c r="L619" s="22">
        <f t="shared" si="318"/>
        <v>0</v>
      </c>
      <c r="M619" s="23">
        <f>(L619/60)*VLOOKUP(C619,Employees!A:J,10,0)*2</f>
        <v>0</v>
      </c>
      <c r="N619" s="24">
        <f t="shared" si="319"/>
        <v>0</v>
      </c>
      <c r="O619" s="25">
        <f>(N619/60)*VLOOKUP(C619,Employees!A:J,10,0)</f>
        <v>0</v>
      </c>
      <c r="P619" s="23">
        <f>IF(G619="غياب",VLOOKUP(C619,Employees!$A$3:$J$36,9,FALSE()),0)</f>
        <v>0</v>
      </c>
    </row>
    <row r="620" spans="1:16" ht="15" customHeight="1">
      <c r="A620" s="17" t="s">
        <v>93</v>
      </c>
      <c r="B620" s="19" t="s">
        <v>73</v>
      </c>
      <c r="C620" s="19" t="s">
        <v>41</v>
      </c>
      <c r="D620" s="19" t="str">
        <f>VLOOKUP(C620,Employees!A:J,2,0)</f>
        <v>عبدالرحمن على</v>
      </c>
      <c r="E620" s="20">
        <v>0.41666666666666702</v>
      </c>
      <c r="F620" s="20">
        <v>0.91666666666666696</v>
      </c>
      <c r="G620" s="21" t="s">
        <v>69</v>
      </c>
      <c r="H620" s="20">
        <f t="shared" si="316"/>
        <v>0.41666666666666702</v>
      </c>
      <c r="I620" s="20">
        <v>0.91666666666666663</v>
      </c>
      <c r="J620" s="22">
        <f t="shared" si="317"/>
        <v>0</v>
      </c>
      <c r="K620" s="47">
        <f>(J620/60)*VLOOKUP(C620,Employees!A:J,10,0)*1.5</f>
        <v>0</v>
      </c>
      <c r="L620" s="22">
        <f t="shared" si="318"/>
        <v>0</v>
      </c>
      <c r="M620" s="23">
        <f>(L620/60)*VLOOKUP(C620,Employees!A:J,10,0)*2</f>
        <v>0</v>
      </c>
      <c r="N620" s="24">
        <f t="shared" si="319"/>
        <v>0</v>
      </c>
      <c r="O620" s="25">
        <f>(N620/60)*VLOOKUP(C620,Employees!A:J,10,0)</f>
        <v>0</v>
      </c>
      <c r="P620" s="23">
        <f>IF(G620="غياب",VLOOKUP(C620,Employees!$A$3:$J$36,9,FALSE()),0)</f>
        <v>0</v>
      </c>
    </row>
    <row r="621" spans="1:16" ht="15" customHeight="1">
      <c r="A621" s="17" t="s">
        <v>94</v>
      </c>
      <c r="B621" s="19" t="s">
        <v>75</v>
      </c>
      <c r="C621" s="19" t="s">
        <v>41</v>
      </c>
      <c r="D621" s="19" t="str">
        <f>VLOOKUP(C621,Employees!A:J,2,0)</f>
        <v>عبدالرحمن على</v>
      </c>
      <c r="E621" s="20">
        <v>0.41666666666666702</v>
      </c>
      <c r="F621" s="20">
        <v>0.91666666666666696</v>
      </c>
      <c r="G621" s="21" t="s">
        <v>69</v>
      </c>
      <c r="H621" s="20">
        <f t="shared" si="316"/>
        <v>0.41666666666666702</v>
      </c>
      <c r="I621" s="20">
        <v>1.0173611111111112</v>
      </c>
      <c r="J621" s="22">
        <f t="shared" si="317"/>
        <v>0</v>
      </c>
      <c r="K621" s="47">
        <f>(J621/60)*VLOOKUP(C621,Employees!A:J,10,0)*1.5</f>
        <v>0</v>
      </c>
      <c r="L621" s="22">
        <f t="shared" si="318"/>
        <v>0</v>
      </c>
      <c r="M621" s="23">
        <f>(L621/60)*VLOOKUP(C621,Employees!A:J,10,0)*2</f>
        <v>0</v>
      </c>
      <c r="N621" s="24">
        <f t="shared" si="319"/>
        <v>144.99999999999966</v>
      </c>
      <c r="O621" s="25">
        <f>(N621/60)*VLOOKUP(C621,Employees!A:J,10,0)</f>
        <v>52.211934156378476</v>
      </c>
      <c r="P621" s="23">
        <f>IF(G621="غياب",VLOOKUP(C621,Employees!$A$3:$J$36,9,FALSE()),0)</f>
        <v>0</v>
      </c>
    </row>
    <row r="622" spans="1:16" ht="15" customHeight="1">
      <c r="A622" s="26" t="s">
        <v>95</v>
      </c>
      <c r="B622" s="28" t="s">
        <v>77</v>
      </c>
      <c r="C622" s="28" t="s">
        <v>41</v>
      </c>
      <c r="D622" s="28" t="str">
        <f>VLOOKUP(C622,Employees!A:J,2,0)</f>
        <v>عبدالرحمن على</v>
      </c>
      <c r="E622" s="29" t="s">
        <v>78</v>
      </c>
      <c r="F622" s="29" t="s">
        <v>78</v>
      </c>
      <c r="G622" s="27" t="s">
        <v>79</v>
      </c>
      <c r="H622" s="29" t="s">
        <v>78</v>
      </c>
      <c r="I622" s="29" t="s">
        <v>78</v>
      </c>
      <c r="J622" s="22" t="s">
        <v>78</v>
      </c>
      <c r="K622" s="47" t="s">
        <v>78</v>
      </c>
      <c r="L622" s="22" t="s">
        <v>78</v>
      </c>
      <c r="M622" s="23" t="s">
        <v>78</v>
      </c>
      <c r="N622" s="24" t="s">
        <v>78</v>
      </c>
      <c r="O622" s="24" t="s">
        <v>78</v>
      </c>
      <c r="P622" s="23">
        <f>IF(G622="غياب",VLOOKUP(C622,Employees!$A$3:$J$36,9,FALSE()),0)</f>
        <v>0</v>
      </c>
    </row>
    <row r="623" spans="1:16" ht="15" customHeight="1">
      <c r="A623" s="17" t="s">
        <v>96</v>
      </c>
      <c r="B623" s="19" t="s">
        <v>81</v>
      </c>
      <c r="C623" s="19" t="s">
        <v>41</v>
      </c>
      <c r="D623" s="19" t="str">
        <f>VLOOKUP(C623,Employees!A:J,2,0)</f>
        <v>عبدالرحمن على</v>
      </c>
      <c r="E623" s="20">
        <v>0.41666666666666702</v>
      </c>
      <c r="F623" s="20">
        <v>0.91666666666666696</v>
      </c>
      <c r="G623" s="21" t="s">
        <v>69</v>
      </c>
      <c r="H623" s="20">
        <f t="shared" ref="H623:H628" si="320">E623</f>
        <v>0.41666666666666702</v>
      </c>
      <c r="I623" s="20">
        <v>0.92083333333333328</v>
      </c>
      <c r="J623" s="22">
        <f t="shared" ref="J623:J628" si="321">IF(OR(H623="",G623="غياب",G623="إجازة أسبوعية"),0,
IF(H623&gt;=E623-TIME(0,20,0),0,
IF(H623&gt;=E623-TIME(0,30,0),30,(E623-H623)*1440)))</f>
        <v>0</v>
      </c>
      <c r="K623" s="47">
        <f>(J623/60)*VLOOKUP(C623,Employees!A:J,10,0)*1.5</f>
        <v>0</v>
      </c>
      <c r="L623" s="22">
        <f t="shared" ref="L623:L628" si="322">IF(OR(H623="",G623="غياب",G623="إجازة أسبوعية"),0,
IF(H623&lt;=E623+TIME(0,30,0),0,
30+((H623-(E623+TIME(0,30,0)))*1440)))</f>
        <v>0</v>
      </c>
      <c r="M623" s="23">
        <f>(L623/60)*VLOOKUP(C623,Employees!A:J,10,0)*2</f>
        <v>0</v>
      </c>
      <c r="N623" s="24">
        <f t="shared" ref="N623:N628" si="323">IF(OR(I623="",G623="غياب",G623="إجازة أسبوعية",I623&lt;=F623),0,
IF(MOD(I623-F623,1)&lt;=TIME(0,25,0),0,MAX(0,(I623-F623)*1440)))</f>
        <v>0</v>
      </c>
      <c r="O623" s="25">
        <f>(N623/60)*VLOOKUP(C623,Employees!A:J,10,0)</f>
        <v>0</v>
      </c>
      <c r="P623" s="23">
        <f>IF(G623="غياب",VLOOKUP(C623,Employees!$A$3:$J$36,9,FALSE()),0)</f>
        <v>0</v>
      </c>
    </row>
    <row r="624" spans="1:16" ht="15" customHeight="1">
      <c r="A624" s="17" t="s">
        <v>97</v>
      </c>
      <c r="B624" s="19" t="s">
        <v>83</v>
      </c>
      <c r="C624" s="19" t="s">
        <v>41</v>
      </c>
      <c r="D624" s="19" t="str">
        <f>VLOOKUP(C624,Employees!A:J,2,0)</f>
        <v>عبدالرحمن على</v>
      </c>
      <c r="E624" s="20">
        <v>0.41666666666666702</v>
      </c>
      <c r="F624" s="20">
        <v>0.91666666666666696</v>
      </c>
      <c r="G624" s="21" t="s">
        <v>69</v>
      </c>
      <c r="H624" s="20">
        <f t="shared" si="320"/>
        <v>0.41666666666666702</v>
      </c>
      <c r="I624" s="20">
        <v>0.95625000000000004</v>
      </c>
      <c r="J624" s="22">
        <f t="shared" si="321"/>
        <v>0</v>
      </c>
      <c r="K624" s="47">
        <f>(J624/60)*VLOOKUP(C624,Employees!A:J,10,0)*1.5</f>
        <v>0</v>
      </c>
      <c r="L624" s="22">
        <f t="shared" si="322"/>
        <v>0</v>
      </c>
      <c r="M624" s="23">
        <f>(L624/60)*VLOOKUP(C624,Employees!A:J,10,0)*2</f>
        <v>0</v>
      </c>
      <c r="N624" s="24">
        <f t="shared" si="323"/>
        <v>56.999999999999638</v>
      </c>
      <c r="O624" s="25">
        <f>(N624/60)*VLOOKUP(C624,Employees!A:J,10,0)</f>
        <v>20.524691358024558</v>
      </c>
      <c r="P624" s="23">
        <f>IF(G624="غياب",VLOOKUP(C624,Employees!$A$3:$J$36,9,FALSE()),0)</f>
        <v>0</v>
      </c>
    </row>
    <row r="625" spans="1:16" ht="15" customHeight="1">
      <c r="A625" s="17" t="s">
        <v>98</v>
      </c>
      <c r="B625" s="19" t="s">
        <v>68</v>
      </c>
      <c r="C625" s="19" t="s">
        <v>41</v>
      </c>
      <c r="D625" s="19" t="str">
        <f>VLOOKUP(C625,Employees!A:J,2,0)</f>
        <v>عبدالرحمن على</v>
      </c>
      <c r="E625" s="20">
        <v>0.41666666666666702</v>
      </c>
      <c r="F625" s="20">
        <v>0.91666666666666696</v>
      </c>
      <c r="G625" s="21" t="s">
        <v>69</v>
      </c>
      <c r="H625" s="20">
        <f t="shared" si="320"/>
        <v>0.41666666666666702</v>
      </c>
      <c r="I625" s="20">
        <v>0.93819444444444444</v>
      </c>
      <c r="J625" s="22">
        <f t="shared" si="321"/>
        <v>0</v>
      </c>
      <c r="K625" s="47">
        <f>(J625/60)*VLOOKUP(C625,Employees!A:J,10,0)*1.5</f>
        <v>0</v>
      </c>
      <c r="L625" s="22">
        <f t="shared" si="322"/>
        <v>0</v>
      </c>
      <c r="M625" s="23">
        <f>(L625/60)*VLOOKUP(C625,Employees!A:J,10,0)*2</f>
        <v>0</v>
      </c>
      <c r="N625" s="24">
        <f t="shared" si="323"/>
        <v>30.99999999999957</v>
      </c>
      <c r="O625" s="25">
        <f>(N625/60)*VLOOKUP(C625,Employees!A:J,10,0)</f>
        <v>11.162551440329063</v>
      </c>
      <c r="P625" s="23">
        <f>IF(G625="غياب",VLOOKUP(C625,Employees!$A$3:$J$36,9,FALSE()),0)</f>
        <v>0</v>
      </c>
    </row>
    <row r="626" spans="1:16" ht="15" customHeight="1">
      <c r="A626" s="17" t="s">
        <v>99</v>
      </c>
      <c r="B626" s="19" t="s">
        <v>71</v>
      </c>
      <c r="C626" s="19" t="s">
        <v>41</v>
      </c>
      <c r="D626" s="19" t="str">
        <f>VLOOKUP(C626,Employees!A:J,2,0)</f>
        <v>عبدالرحمن على</v>
      </c>
      <c r="E626" s="20">
        <v>0.41666666666666702</v>
      </c>
      <c r="F626" s="20">
        <v>0.91666666666666696</v>
      </c>
      <c r="G626" s="21" t="s">
        <v>69</v>
      </c>
      <c r="H626" s="20">
        <f t="shared" si="320"/>
        <v>0.41666666666666702</v>
      </c>
      <c r="I626" s="20">
        <v>0.95833333333333337</v>
      </c>
      <c r="J626" s="22">
        <f t="shared" si="321"/>
        <v>0</v>
      </c>
      <c r="K626" s="47">
        <f>(J626/60)*VLOOKUP(C626,Employees!A:J,10,0)*1.5</f>
        <v>0</v>
      </c>
      <c r="L626" s="22">
        <f t="shared" si="322"/>
        <v>0</v>
      </c>
      <c r="M626" s="23">
        <f>(L626/60)*VLOOKUP(C626,Employees!A:J,10,0)*2</f>
        <v>0</v>
      </c>
      <c r="N626" s="24">
        <f t="shared" si="323"/>
        <v>59.999999999999631</v>
      </c>
      <c r="O626" s="25">
        <f>(N626/60)*VLOOKUP(C626,Employees!A:J,10,0)</f>
        <v>21.604938271604805</v>
      </c>
      <c r="P626" s="23">
        <f>IF(G626="غياب",VLOOKUP(C626,Employees!$A$3:$J$36,9,FALSE()),0)</f>
        <v>0</v>
      </c>
    </row>
    <row r="627" spans="1:16" ht="15" customHeight="1">
      <c r="A627" s="17" t="s">
        <v>100</v>
      </c>
      <c r="B627" s="19" t="s">
        <v>73</v>
      </c>
      <c r="C627" s="19" t="s">
        <v>41</v>
      </c>
      <c r="D627" s="19" t="str">
        <f>VLOOKUP(C627,Employees!A:J,2,0)</f>
        <v>عبدالرحمن على</v>
      </c>
      <c r="E627" s="20">
        <v>0.375</v>
      </c>
      <c r="F627" s="20">
        <v>0.875</v>
      </c>
      <c r="G627" s="21" t="s">
        <v>69</v>
      </c>
      <c r="H627" s="20">
        <f t="shared" si="320"/>
        <v>0.375</v>
      </c>
      <c r="I627" s="20">
        <v>0.8833333333333333</v>
      </c>
      <c r="J627" s="22">
        <f t="shared" si="321"/>
        <v>0</v>
      </c>
      <c r="K627" s="47">
        <f>(J627/60)*VLOOKUP(C627,Employees!A:J,10,0)*1.5</f>
        <v>0</v>
      </c>
      <c r="L627" s="22">
        <f t="shared" si="322"/>
        <v>0</v>
      </c>
      <c r="M627" s="23">
        <f>(L627/60)*VLOOKUP(C627,Employees!A:J,10,0)*2</f>
        <v>0</v>
      </c>
      <c r="N627" s="24">
        <f t="shared" si="323"/>
        <v>0</v>
      </c>
      <c r="O627" s="25">
        <f>(N627/60)*VLOOKUP(C627,Employees!A:J,10,0)</f>
        <v>0</v>
      </c>
      <c r="P627" s="23">
        <f>IF(G627="غياب",VLOOKUP(C627,Employees!$A$3:$J$36,9,FALSE()),0)</f>
        <v>0</v>
      </c>
    </row>
    <row r="628" spans="1:16" ht="15" customHeight="1">
      <c r="A628" s="17" t="s">
        <v>101</v>
      </c>
      <c r="B628" s="19" t="s">
        <v>75</v>
      </c>
      <c r="C628" s="19" t="s">
        <v>41</v>
      </c>
      <c r="D628" s="19" t="str">
        <f>VLOOKUP(C628,Employees!A:J,2,0)</f>
        <v>عبدالرحمن على</v>
      </c>
      <c r="E628" s="20">
        <v>0.375</v>
      </c>
      <c r="F628" s="20">
        <v>0.875</v>
      </c>
      <c r="G628" s="21" t="s">
        <v>69</v>
      </c>
      <c r="H628" s="20">
        <f t="shared" si="320"/>
        <v>0.375</v>
      </c>
      <c r="I628" s="20">
        <v>0.91111111111111109</v>
      </c>
      <c r="J628" s="22">
        <f t="shared" si="321"/>
        <v>0</v>
      </c>
      <c r="K628" s="47">
        <f>(J628/60)*VLOOKUP(C628,Employees!A:J,10,0)*1.5</f>
        <v>0</v>
      </c>
      <c r="L628" s="22">
        <f t="shared" si="322"/>
        <v>0</v>
      </c>
      <c r="M628" s="23">
        <f>(L628/60)*VLOOKUP(C628,Employees!A:J,10,0)*2</f>
        <v>0</v>
      </c>
      <c r="N628" s="24">
        <f t="shared" si="323"/>
        <v>51.999999999999972</v>
      </c>
      <c r="O628" s="25">
        <f>(N628/60)*VLOOKUP(C628,Employees!A:J,10,0)</f>
        <v>18.724279835390934</v>
      </c>
      <c r="P628" s="23">
        <f>IF(G628="غياب",VLOOKUP(C628,Employees!$A$3:$J$36,9,FALSE()),0)</f>
        <v>0</v>
      </c>
    </row>
    <row r="629" spans="1:16" ht="15" customHeight="1">
      <c r="A629" s="26" t="s">
        <v>102</v>
      </c>
      <c r="B629" s="28" t="s">
        <v>77</v>
      </c>
      <c r="C629" s="28" t="s">
        <v>41</v>
      </c>
      <c r="D629" s="28" t="str">
        <f>VLOOKUP(C629,Employees!A:J,2,0)</f>
        <v>عبدالرحمن على</v>
      </c>
      <c r="E629" s="29" t="s">
        <v>78</v>
      </c>
      <c r="F629" s="29" t="s">
        <v>78</v>
      </c>
      <c r="G629" s="27" t="s">
        <v>79</v>
      </c>
      <c r="H629" s="29" t="s">
        <v>78</v>
      </c>
      <c r="I629" s="29" t="s">
        <v>78</v>
      </c>
      <c r="J629" s="22" t="s">
        <v>78</v>
      </c>
      <c r="K629" s="47" t="s">
        <v>78</v>
      </c>
      <c r="L629" s="22" t="s">
        <v>78</v>
      </c>
      <c r="M629" s="23" t="s">
        <v>78</v>
      </c>
      <c r="N629" s="24" t="s">
        <v>78</v>
      </c>
      <c r="O629" s="24" t="s">
        <v>78</v>
      </c>
      <c r="P629" s="23">
        <f>IF(G629="غياب",VLOOKUP(C629,Employees!$A$3:$J$36,9,FALSE()),0)</f>
        <v>0</v>
      </c>
    </row>
    <row r="630" spans="1:16" ht="15" customHeight="1">
      <c r="A630" s="17" t="s">
        <v>103</v>
      </c>
      <c r="B630" s="19" t="s">
        <v>81</v>
      </c>
      <c r="C630" s="19" t="s">
        <v>41</v>
      </c>
      <c r="D630" s="19" t="str">
        <f>VLOOKUP(C630,Employees!A:J,2,0)</f>
        <v>عبدالرحمن على</v>
      </c>
      <c r="E630" s="20">
        <v>0.375</v>
      </c>
      <c r="F630" s="20">
        <v>0.875</v>
      </c>
      <c r="G630" s="21" t="s">
        <v>69</v>
      </c>
      <c r="H630" s="20">
        <f t="shared" ref="H630:H637" si="324">E630</f>
        <v>0.375</v>
      </c>
      <c r="I630" s="20">
        <v>0.92708333333333337</v>
      </c>
      <c r="J630" s="22">
        <f t="shared" ref="J630:J637" si="325">IF(OR(H630="",G630="غياب",G630="إجازة أسبوعية"),0,
IF(H630&gt;=E630-TIME(0,20,0),0,
IF(H630&gt;=E630-TIME(0,30,0),30,(E630-H630)*1440)))</f>
        <v>0</v>
      </c>
      <c r="K630" s="47">
        <f>(J630/60)*VLOOKUP(C630,Employees!A:J,10,0)*1.5</f>
        <v>0</v>
      </c>
      <c r="L630" s="22">
        <f t="shared" ref="L630:L637" si="326">IF(OR(H630="",G630="غياب",G630="إجازة أسبوعية"),0,
IF(H630&lt;=E630+TIME(0,30,0),0,
30+((H630-(E630+TIME(0,30,0)))*1440)))</f>
        <v>0</v>
      </c>
      <c r="M630" s="23">
        <f>(L630/60)*VLOOKUP(C630,Employees!A:J,10,0)*2</f>
        <v>0</v>
      </c>
      <c r="N630" s="24">
        <f t="shared" ref="N630:N637" si="327">IF(OR(I630="",G630="غياب",G630="إجازة أسبوعية",I630&lt;=F630),0,
IF(MOD(I630-F630,1)&lt;=TIME(0,25,0),0,MAX(0,(I630-F630)*1440)))</f>
        <v>75.000000000000057</v>
      </c>
      <c r="O630" s="25">
        <f>(N630/60)*VLOOKUP(C630,Employees!A:J,10,0)</f>
        <v>27.006172839506188</v>
      </c>
      <c r="P630" s="23">
        <f>IF(G630="غياب",VLOOKUP(C630,Employees!$A$3:$J$36,9,FALSE()),0)</f>
        <v>0</v>
      </c>
    </row>
    <row r="631" spans="1:16" ht="15" customHeight="1">
      <c r="A631" s="17" t="s">
        <v>104</v>
      </c>
      <c r="B631" s="19" t="s">
        <v>83</v>
      </c>
      <c r="C631" s="19" t="s">
        <v>41</v>
      </c>
      <c r="D631" s="19" t="str">
        <f>VLOOKUP(C631,Employees!A:J,2,0)</f>
        <v>عبدالرحمن على</v>
      </c>
      <c r="E631" s="20">
        <v>0.375</v>
      </c>
      <c r="F631" s="20">
        <v>0.875</v>
      </c>
      <c r="G631" s="21" t="s">
        <v>69</v>
      </c>
      <c r="H631" s="20">
        <f t="shared" si="324"/>
        <v>0.375</v>
      </c>
      <c r="I631" s="20">
        <v>0.91666666666666663</v>
      </c>
      <c r="J631" s="22">
        <f t="shared" si="325"/>
        <v>0</v>
      </c>
      <c r="K631" s="47">
        <f>(J631/60)*VLOOKUP(C631,Employees!A:J,10,0)*1.5</f>
        <v>0</v>
      </c>
      <c r="L631" s="22">
        <f t="shared" si="326"/>
        <v>0</v>
      </c>
      <c r="M631" s="23">
        <f>(L631/60)*VLOOKUP(C631,Employees!A:J,10,0)*2</f>
        <v>0</v>
      </c>
      <c r="N631" s="24">
        <f t="shared" si="327"/>
        <v>59.999999999999943</v>
      </c>
      <c r="O631" s="25">
        <f>(N631/60)*VLOOKUP(C631,Employees!A:J,10,0)</f>
        <v>21.604938271604915</v>
      </c>
      <c r="P631" s="23">
        <f>IF(G631="غياب",VLOOKUP(C631,Employees!$A$3:$J$36,9,FALSE()),0)</f>
        <v>0</v>
      </c>
    </row>
    <row r="632" spans="1:16" ht="15" customHeight="1">
      <c r="A632" s="17" t="s">
        <v>105</v>
      </c>
      <c r="B632" s="19" t="s">
        <v>68</v>
      </c>
      <c r="C632" s="19" t="s">
        <v>41</v>
      </c>
      <c r="D632" s="19" t="str">
        <f>VLOOKUP(C632,Employees!A:J,2,0)</f>
        <v>عبدالرحمن على</v>
      </c>
      <c r="E632" s="20">
        <v>0.375</v>
      </c>
      <c r="F632" s="20">
        <v>0.875</v>
      </c>
      <c r="G632" s="21" t="s">
        <v>69</v>
      </c>
      <c r="H632" s="20">
        <f t="shared" si="324"/>
        <v>0.375</v>
      </c>
      <c r="I632" s="20">
        <v>0.91597222222222219</v>
      </c>
      <c r="J632" s="22">
        <f t="shared" si="325"/>
        <v>0</v>
      </c>
      <c r="K632" s="47">
        <f>(J632/60)*VLOOKUP(C632,Employees!A:J,10,0)*1.5</f>
        <v>0</v>
      </c>
      <c r="L632" s="22">
        <f t="shared" si="326"/>
        <v>0</v>
      </c>
      <c r="M632" s="23">
        <f>(L632/60)*VLOOKUP(C632,Employees!A:J,10,0)*2</f>
        <v>0</v>
      </c>
      <c r="N632" s="24">
        <f t="shared" si="327"/>
        <v>58.99999999999995</v>
      </c>
      <c r="O632" s="25">
        <f>(N632/60)*VLOOKUP(C632,Employees!A:J,10,0)</f>
        <v>21.24485596707817</v>
      </c>
      <c r="P632" s="23">
        <f>IF(G632="غياب",VLOOKUP(C632,Employees!$A$3:$J$36,9,FALSE()),0)</f>
        <v>0</v>
      </c>
    </row>
    <row r="633" spans="1:16" ht="15" customHeight="1">
      <c r="A633" s="17" t="s">
        <v>106</v>
      </c>
      <c r="B633" s="19" t="s">
        <v>71</v>
      </c>
      <c r="C633" s="19" t="s">
        <v>41</v>
      </c>
      <c r="D633" s="19" t="str">
        <f>VLOOKUP(C633,Employees!A:J,2,0)</f>
        <v>عبدالرحمن على</v>
      </c>
      <c r="E633" s="20">
        <v>0.375</v>
      </c>
      <c r="F633" s="20">
        <v>0.875</v>
      </c>
      <c r="G633" s="21" t="s">
        <v>69</v>
      </c>
      <c r="H633" s="20">
        <f t="shared" si="324"/>
        <v>0.375</v>
      </c>
      <c r="I633" s="20">
        <v>0.88263888888888886</v>
      </c>
      <c r="J633" s="22">
        <f t="shared" si="325"/>
        <v>0</v>
      </c>
      <c r="K633" s="47">
        <f>(J633/60)*VLOOKUP(C633,Employees!A:J,10,0)*1.5</f>
        <v>0</v>
      </c>
      <c r="L633" s="22">
        <f t="shared" si="326"/>
        <v>0</v>
      </c>
      <c r="M633" s="23">
        <f>(L633/60)*VLOOKUP(C633,Employees!A:J,10,0)*2</f>
        <v>0</v>
      </c>
      <c r="N633" s="24">
        <f t="shared" si="327"/>
        <v>0</v>
      </c>
      <c r="O633" s="25">
        <f>(N633/60)*VLOOKUP(C633,Employees!A:J,10,0)</f>
        <v>0</v>
      </c>
      <c r="P633" s="23">
        <f>IF(G633="غياب",VLOOKUP(C633,Employees!$A$3:$J$36,9,FALSE()),0)</f>
        <v>0</v>
      </c>
    </row>
    <row r="634" spans="1:16" ht="15" customHeight="1">
      <c r="A634" s="17" t="s">
        <v>67</v>
      </c>
      <c r="B634" s="19" t="s">
        <v>68</v>
      </c>
      <c r="C634" s="19" t="s">
        <v>42</v>
      </c>
      <c r="D634" s="19" t="str">
        <f>VLOOKUP(C634,Employees!A:J,2,0)</f>
        <v>مصطفى شريف</v>
      </c>
      <c r="E634" s="20">
        <v>0.375</v>
      </c>
      <c r="F634" s="20">
        <v>0.875</v>
      </c>
      <c r="G634" s="21" t="s">
        <v>69</v>
      </c>
      <c r="H634" s="20">
        <f t="shared" si="324"/>
        <v>0.375</v>
      </c>
      <c r="I634" s="20">
        <f>F634</f>
        <v>0.875</v>
      </c>
      <c r="J634" s="22">
        <f t="shared" si="325"/>
        <v>0</v>
      </c>
      <c r="K634" s="47">
        <f>(J634/60)*VLOOKUP(C634,Employees!A:J,10,0)*1.5</f>
        <v>0</v>
      </c>
      <c r="L634" s="22">
        <f t="shared" si="326"/>
        <v>0</v>
      </c>
      <c r="M634" s="23">
        <f>(L634/60)*VLOOKUP(C634,Employees!A:J,10,0)*2</f>
        <v>0</v>
      </c>
      <c r="N634" s="24">
        <f t="shared" si="327"/>
        <v>0</v>
      </c>
      <c r="O634" s="25">
        <f>(N634/60)*VLOOKUP(C634,Employees!A:J,10,0)</f>
        <v>0</v>
      </c>
      <c r="P634" s="23">
        <f>IF(G634="غياب",VLOOKUP(C634,Employees!$A$3:$J$36,9,FALSE()),0)</f>
        <v>0</v>
      </c>
    </row>
    <row r="635" spans="1:16" ht="15" customHeight="1">
      <c r="A635" s="17" t="s">
        <v>70</v>
      </c>
      <c r="B635" s="19" t="s">
        <v>71</v>
      </c>
      <c r="C635" s="19" t="s">
        <v>42</v>
      </c>
      <c r="D635" s="19" t="str">
        <f>VLOOKUP(C635,Employees!A:J,2,0)</f>
        <v>مصطفى شريف</v>
      </c>
      <c r="E635" s="20">
        <v>0.375</v>
      </c>
      <c r="F635" s="20">
        <v>0.875</v>
      </c>
      <c r="G635" s="21" t="s">
        <v>69</v>
      </c>
      <c r="H635" s="20">
        <f t="shared" si="324"/>
        <v>0.375</v>
      </c>
      <c r="I635" s="20">
        <f t="shared" ref="I635:I637" si="328">F635</f>
        <v>0.875</v>
      </c>
      <c r="J635" s="22">
        <f t="shared" si="325"/>
        <v>0</v>
      </c>
      <c r="K635" s="47">
        <f>(J635/60)*VLOOKUP(C635,Employees!A:J,10,0)*1.5</f>
        <v>0</v>
      </c>
      <c r="L635" s="22">
        <f t="shared" si="326"/>
        <v>0</v>
      </c>
      <c r="M635" s="23">
        <f>(L635/60)*VLOOKUP(C635,Employees!A:J,10,0)*2</f>
        <v>0</v>
      </c>
      <c r="N635" s="24">
        <f t="shared" si="327"/>
        <v>0</v>
      </c>
      <c r="O635" s="25">
        <f>(N635/60)*VLOOKUP(C635,Employees!A:J,10,0)</f>
        <v>0</v>
      </c>
      <c r="P635" s="23">
        <f>IF(G635="غياب",VLOOKUP(C635,Employees!$A$3:$J$36,9,FALSE()),0)</f>
        <v>0</v>
      </c>
    </row>
    <row r="636" spans="1:16" ht="15" customHeight="1">
      <c r="A636" s="17" t="s">
        <v>72</v>
      </c>
      <c r="B636" s="19" t="s">
        <v>73</v>
      </c>
      <c r="C636" s="19" t="s">
        <v>42</v>
      </c>
      <c r="D636" s="19" t="str">
        <f>VLOOKUP(C636,Employees!A:J,2,0)</f>
        <v>مصطفى شريف</v>
      </c>
      <c r="E636" s="20">
        <v>0.375</v>
      </c>
      <c r="F636" s="20">
        <v>0.875</v>
      </c>
      <c r="G636" s="21" t="s">
        <v>69</v>
      </c>
      <c r="H636" s="20">
        <f t="shared" si="324"/>
        <v>0.375</v>
      </c>
      <c r="I636" s="20">
        <f t="shared" si="328"/>
        <v>0.875</v>
      </c>
      <c r="J636" s="22">
        <f t="shared" si="325"/>
        <v>0</v>
      </c>
      <c r="K636" s="47">
        <f>(J636/60)*VLOOKUP(C636,Employees!A:J,10,0)*1.5</f>
        <v>0</v>
      </c>
      <c r="L636" s="22">
        <f t="shared" si="326"/>
        <v>0</v>
      </c>
      <c r="M636" s="23">
        <f>(L636/60)*VLOOKUP(C636,Employees!A:J,10,0)*2</f>
        <v>0</v>
      </c>
      <c r="N636" s="24">
        <f t="shared" si="327"/>
        <v>0</v>
      </c>
      <c r="O636" s="25">
        <f>(N636/60)*VLOOKUP(C636,Employees!A:J,10,0)</f>
        <v>0</v>
      </c>
      <c r="P636" s="23">
        <f>IF(G636="غياب",VLOOKUP(C636,Employees!$A$3:$J$36,9,FALSE()),0)</f>
        <v>0</v>
      </c>
    </row>
    <row r="637" spans="1:16" ht="15" customHeight="1">
      <c r="A637" s="17" t="s">
        <v>74</v>
      </c>
      <c r="B637" s="19" t="s">
        <v>75</v>
      </c>
      <c r="C637" s="19" t="s">
        <v>42</v>
      </c>
      <c r="D637" s="19" t="str">
        <f>VLOOKUP(C637,Employees!A:J,2,0)</f>
        <v>مصطفى شريف</v>
      </c>
      <c r="E637" s="20">
        <v>0.375</v>
      </c>
      <c r="F637" s="20">
        <v>0.875</v>
      </c>
      <c r="G637" s="21" t="s">
        <v>69</v>
      </c>
      <c r="H637" s="20">
        <f t="shared" si="324"/>
        <v>0.375</v>
      </c>
      <c r="I637" s="20">
        <f t="shared" si="328"/>
        <v>0.875</v>
      </c>
      <c r="J637" s="22">
        <f t="shared" si="325"/>
        <v>0</v>
      </c>
      <c r="K637" s="47">
        <f>(J637/60)*VLOOKUP(C637,Employees!A:J,10,0)*1.5</f>
        <v>0</v>
      </c>
      <c r="L637" s="22">
        <f t="shared" si="326"/>
        <v>0</v>
      </c>
      <c r="M637" s="23">
        <f>(L637/60)*VLOOKUP(C637,Employees!A:J,10,0)*2</f>
        <v>0</v>
      </c>
      <c r="N637" s="24">
        <f t="shared" si="327"/>
        <v>0</v>
      </c>
      <c r="O637" s="25">
        <f>(N637/60)*VLOOKUP(C637,Employees!A:J,10,0)</f>
        <v>0</v>
      </c>
      <c r="P637" s="23">
        <f>IF(G637="غياب",VLOOKUP(C637,Employees!$A$3:$J$36,9,FALSE()),0)</f>
        <v>0</v>
      </c>
    </row>
    <row r="638" spans="1:16" ht="15" customHeight="1">
      <c r="A638" s="26" t="s">
        <v>76</v>
      </c>
      <c r="B638" s="28" t="s">
        <v>77</v>
      </c>
      <c r="C638" s="28" t="s">
        <v>42</v>
      </c>
      <c r="D638" s="28" t="str">
        <f>VLOOKUP(C638,Employees!A:J,2,0)</f>
        <v>مصطفى شريف</v>
      </c>
      <c r="E638" s="29" t="s">
        <v>78</v>
      </c>
      <c r="F638" s="29" t="s">
        <v>78</v>
      </c>
      <c r="G638" s="27" t="s">
        <v>79</v>
      </c>
      <c r="H638" s="29" t="s">
        <v>78</v>
      </c>
      <c r="I638" s="29" t="s">
        <v>78</v>
      </c>
      <c r="J638" s="22" t="s">
        <v>78</v>
      </c>
      <c r="K638" s="47" t="s">
        <v>78</v>
      </c>
      <c r="L638" s="22" t="s">
        <v>78</v>
      </c>
      <c r="M638" s="23" t="s">
        <v>78</v>
      </c>
      <c r="N638" s="24" t="s">
        <v>78</v>
      </c>
      <c r="O638" s="24" t="s">
        <v>78</v>
      </c>
      <c r="P638" s="23">
        <f>IF(G638="غياب",VLOOKUP(C638,Employees!$A$3:$J$36,9,FALSE()),0)</f>
        <v>0</v>
      </c>
    </row>
    <row r="639" spans="1:16" ht="15" customHeight="1">
      <c r="A639" s="17" t="s">
        <v>80</v>
      </c>
      <c r="B639" s="19" t="s">
        <v>81</v>
      </c>
      <c r="C639" s="19" t="s">
        <v>42</v>
      </c>
      <c r="D639" s="19" t="str">
        <f>VLOOKUP(C639,Employees!A:J,2,0)</f>
        <v>مصطفى شريف</v>
      </c>
      <c r="E639" s="20">
        <v>0.375</v>
      </c>
      <c r="F639" s="20">
        <v>0.875</v>
      </c>
      <c r="G639" s="21" t="s">
        <v>69</v>
      </c>
      <c r="H639" s="20">
        <f t="shared" ref="H639:H644" si="329">E639</f>
        <v>0.375</v>
      </c>
      <c r="I639" s="20">
        <f t="shared" ref="I639:I644" si="330">F639</f>
        <v>0.875</v>
      </c>
      <c r="J639" s="22">
        <f t="shared" ref="J639:J644" si="331">IF(OR(H639="",G639="غياب",G639="إجازة أسبوعية"),0,
IF(H639&gt;=E639-TIME(0,20,0),0,
IF(H639&gt;=E639-TIME(0,30,0),30,(E639-H639)*1440)))</f>
        <v>0</v>
      </c>
      <c r="K639" s="47">
        <f>(J639/60)*VLOOKUP(C639,Employees!A:J,10,0)*1.5</f>
        <v>0</v>
      </c>
      <c r="L639" s="22">
        <f t="shared" ref="L639:L644" si="332">IF(OR(H639="",G639="غياب",G639="إجازة أسبوعية"),0,
IF(H639&lt;=E639+TIME(0,30,0),0,
30+((H639-(E639+TIME(0,30,0)))*1440)))</f>
        <v>0</v>
      </c>
      <c r="M639" s="23">
        <f>(L639/60)*VLOOKUP(C639,Employees!A:J,10,0)*2</f>
        <v>0</v>
      </c>
      <c r="N639" s="24">
        <f t="shared" ref="N639:N644" si="333">IF(OR(I639="",G639="غياب",G639="إجازة أسبوعية",I639&lt;=F639),0,
IF(MOD(I639-F639,1)&lt;=TIME(0,25,0),0,MAX(0,(I639-F639)*1440)))</f>
        <v>0</v>
      </c>
      <c r="O639" s="25">
        <f>(N639/60)*VLOOKUP(C639,Employees!A:J,10,0)</f>
        <v>0</v>
      </c>
      <c r="P639" s="23">
        <f>IF(G639="غياب",VLOOKUP(C639,Employees!$A$3:$J$36,9,FALSE()),0)</f>
        <v>0</v>
      </c>
    </row>
    <row r="640" spans="1:16" ht="15" customHeight="1">
      <c r="A640" s="17" t="s">
        <v>82</v>
      </c>
      <c r="B640" s="19" t="s">
        <v>83</v>
      </c>
      <c r="C640" s="19" t="s">
        <v>42</v>
      </c>
      <c r="D640" s="19" t="str">
        <f>VLOOKUP(C640,Employees!A:J,2,0)</f>
        <v>مصطفى شريف</v>
      </c>
      <c r="E640" s="20">
        <v>0.375</v>
      </c>
      <c r="F640" s="20">
        <v>0.875</v>
      </c>
      <c r="G640" s="21" t="s">
        <v>69</v>
      </c>
      <c r="H640" s="20">
        <f t="shared" si="329"/>
        <v>0.375</v>
      </c>
      <c r="I640" s="20">
        <f t="shared" si="330"/>
        <v>0.875</v>
      </c>
      <c r="J640" s="22">
        <f t="shared" si="331"/>
        <v>0</v>
      </c>
      <c r="K640" s="47">
        <f>(J640/60)*VLOOKUP(C640,Employees!A:J,10,0)*1.5</f>
        <v>0</v>
      </c>
      <c r="L640" s="22">
        <f t="shared" si="332"/>
        <v>0</v>
      </c>
      <c r="M640" s="23">
        <f>(L640/60)*VLOOKUP(C640,Employees!A:J,10,0)*2</f>
        <v>0</v>
      </c>
      <c r="N640" s="24">
        <f t="shared" si="333"/>
        <v>0</v>
      </c>
      <c r="O640" s="25">
        <f>(N640/60)*VLOOKUP(C640,Employees!A:J,10,0)</f>
        <v>0</v>
      </c>
      <c r="P640" s="23">
        <f>IF(G640="غياب",VLOOKUP(C640,Employees!$A$3:$J$36,9,FALSE()),0)</f>
        <v>0</v>
      </c>
    </row>
    <row r="641" spans="1:16" ht="15" customHeight="1">
      <c r="A641" s="17" t="s">
        <v>84</v>
      </c>
      <c r="B641" s="19" t="s">
        <v>68</v>
      </c>
      <c r="C641" s="19" t="s">
        <v>42</v>
      </c>
      <c r="D641" s="19" t="str">
        <f>VLOOKUP(C641,Employees!A:J,2,0)</f>
        <v>مصطفى شريف</v>
      </c>
      <c r="E641" s="20">
        <v>0.375</v>
      </c>
      <c r="F641" s="20">
        <v>0.875</v>
      </c>
      <c r="G641" s="21" t="s">
        <v>69</v>
      </c>
      <c r="H641" s="20">
        <f t="shared" si="329"/>
        <v>0.375</v>
      </c>
      <c r="I641" s="20">
        <f t="shared" si="330"/>
        <v>0.875</v>
      </c>
      <c r="J641" s="22">
        <f t="shared" si="331"/>
        <v>0</v>
      </c>
      <c r="K641" s="47">
        <f>(J641/60)*VLOOKUP(C641,Employees!A:J,10,0)*1.5</f>
        <v>0</v>
      </c>
      <c r="L641" s="22">
        <f t="shared" si="332"/>
        <v>0</v>
      </c>
      <c r="M641" s="23">
        <f>(L641/60)*VLOOKUP(C641,Employees!A:J,10,0)*2</f>
        <v>0</v>
      </c>
      <c r="N641" s="24">
        <f t="shared" si="333"/>
        <v>0</v>
      </c>
      <c r="O641" s="25">
        <f>(N641/60)*VLOOKUP(C641,Employees!A:J,10,0)</f>
        <v>0</v>
      </c>
      <c r="P641" s="23">
        <f>IF(G641="غياب",VLOOKUP(C641,Employees!$A$3:$J$36,9,FALSE()),0)</f>
        <v>0</v>
      </c>
    </row>
    <row r="642" spans="1:16" ht="15" customHeight="1">
      <c r="A642" s="17" t="s">
        <v>85</v>
      </c>
      <c r="B642" s="19" t="s">
        <v>71</v>
      </c>
      <c r="C642" s="19" t="s">
        <v>42</v>
      </c>
      <c r="D642" s="19" t="str">
        <f>VLOOKUP(C642,Employees!A:J,2,0)</f>
        <v>مصطفى شريف</v>
      </c>
      <c r="E642" s="20">
        <v>0.375</v>
      </c>
      <c r="F642" s="20">
        <v>0.875</v>
      </c>
      <c r="G642" s="21" t="s">
        <v>69</v>
      </c>
      <c r="H642" s="20">
        <f t="shared" si="329"/>
        <v>0.375</v>
      </c>
      <c r="I642" s="20">
        <f t="shared" si="330"/>
        <v>0.875</v>
      </c>
      <c r="J642" s="22">
        <f t="shared" si="331"/>
        <v>0</v>
      </c>
      <c r="K642" s="47">
        <f>(J642/60)*VLOOKUP(C642,Employees!A:J,10,0)*1.5</f>
        <v>0</v>
      </c>
      <c r="L642" s="22">
        <f t="shared" si="332"/>
        <v>0</v>
      </c>
      <c r="M642" s="23">
        <f>(L642/60)*VLOOKUP(C642,Employees!A:J,10,0)*2</f>
        <v>0</v>
      </c>
      <c r="N642" s="24">
        <f t="shared" si="333"/>
        <v>0</v>
      </c>
      <c r="O642" s="25">
        <f>(N642/60)*VLOOKUP(C642,Employees!A:J,10,0)</f>
        <v>0</v>
      </c>
      <c r="P642" s="23">
        <f>IF(G642="غياب",VLOOKUP(C642,Employees!$A$3:$J$36,9,FALSE()),0)</f>
        <v>0</v>
      </c>
    </row>
    <row r="643" spans="1:16" ht="15" customHeight="1">
      <c r="A643" s="17" t="s">
        <v>86</v>
      </c>
      <c r="B643" s="19" t="s">
        <v>73</v>
      </c>
      <c r="C643" s="19" t="s">
        <v>42</v>
      </c>
      <c r="D643" s="19" t="str">
        <f>VLOOKUP(C643,Employees!A:J,2,0)</f>
        <v>مصطفى شريف</v>
      </c>
      <c r="E643" s="20">
        <v>0.375</v>
      </c>
      <c r="F643" s="20">
        <v>0.875</v>
      </c>
      <c r="G643" s="21" t="s">
        <v>69</v>
      </c>
      <c r="H643" s="20">
        <f t="shared" si="329"/>
        <v>0.375</v>
      </c>
      <c r="I643" s="20">
        <f t="shared" si="330"/>
        <v>0.875</v>
      </c>
      <c r="J643" s="22">
        <f t="shared" si="331"/>
        <v>0</v>
      </c>
      <c r="K643" s="47">
        <f>(J643/60)*VLOOKUP(C643,Employees!A:J,10,0)*1.5</f>
        <v>0</v>
      </c>
      <c r="L643" s="22">
        <f t="shared" si="332"/>
        <v>0</v>
      </c>
      <c r="M643" s="23">
        <f>(L643/60)*VLOOKUP(C643,Employees!A:J,10,0)*2</f>
        <v>0</v>
      </c>
      <c r="N643" s="24">
        <f t="shared" si="333"/>
        <v>0</v>
      </c>
      <c r="O643" s="25">
        <f>(N643/60)*VLOOKUP(C643,Employees!A:J,10,0)</f>
        <v>0</v>
      </c>
      <c r="P643" s="23">
        <f>IF(G643="غياب",VLOOKUP(C643,Employees!$A$3:$J$36,9,FALSE()),0)</f>
        <v>0</v>
      </c>
    </row>
    <row r="644" spans="1:16" ht="15" customHeight="1">
      <c r="A644" s="17" t="s">
        <v>87</v>
      </c>
      <c r="B644" s="19" t="s">
        <v>75</v>
      </c>
      <c r="C644" s="19" t="s">
        <v>42</v>
      </c>
      <c r="D644" s="19" t="str">
        <f>VLOOKUP(C644,Employees!A:J,2,0)</f>
        <v>مصطفى شريف</v>
      </c>
      <c r="E644" s="20">
        <v>0.41666666666666702</v>
      </c>
      <c r="F644" s="20">
        <v>0.91666666666666696</v>
      </c>
      <c r="G644" s="21" t="s">
        <v>69</v>
      </c>
      <c r="H644" s="20">
        <f t="shared" si="329"/>
        <v>0.41666666666666702</v>
      </c>
      <c r="I644" s="20">
        <f t="shared" si="330"/>
        <v>0.91666666666666696</v>
      </c>
      <c r="J644" s="22">
        <f t="shared" si="331"/>
        <v>0</v>
      </c>
      <c r="K644" s="47">
        <f>(J644/60)*VLOOKUP(C644,Employees!A:J,10,0)*1.5</f>
        <v>0</v>
      </c>
      <c r="L644" s="22">
        <f t="shared" si="332"/>
        <v>0</v>
      </c>
      <c r="M644" s="23">
        <f>(L644/60)*VLOOKUP(C644,Employees!A:J,10,0)*2</f>
        <v>0</v>
      </c>
      <c r="N644" s="24">
        <f t="shared" si="333"/>
        <v>0</v>
      </c>
      <c r="O644" s="25">
        <f>(N644/60)*VLOOKUP(C644,Employees!A:J,10,0)</f>
        <v>0</v>
      </c>
      <c r="P644" s="23">
        <f>IF(G644="غياب",VLOOKUP(C644,Employees!$A$3:$J$36,9,FALSE()),0)</f>
        <v>0</v>
      </c>
    </row>
    <row r="645" spans="1:16" ht="15" customHeight="1">
      <c r="A645" s="26" t="s">
        <v>88</v>
      </c>
      <c r="B645" s="28" t="s">
        <v>77</v>
      </c>
      <c r="C645" s="28" t="s">
        <v>42</v>
      </c>
      <c r="D645" s="28" t="str">
        <f>VLOOKUP(C645,Employees!A:J,2,0)</f>
        <v>مصطفى شريف</v>
      </c>
      <c r="E645" s="29" t="s">
        <v>78</v>
      </c>
      <c r="F645" s="29" t="s">
        <v>78</v>
      </c>
      <c r="G645" s="27" t="s">
        <v>79</v>
      </c>
      <c r="H645" s="29" t="s">
        <v>78</v>
      </c>
      <c r="I645" s="29" t="s">
        <v>78</v>
      </c>
      <c r="J645" s="22" t="s">
        <v>78</v>
      </c>
      <c r="K645" s="47" t="s">
        <v>78</v>
      </c>
      <c r="L645" s="22" t="s">
        <v>78</v>
      </c>
      <c r="M645" s="23" t="s">
        <v>78</v>
      </c>
      <c r="N645" s="24" t="s">
        <v>78</v>
      </c>
      <c r="O645" s="24" t="s">
        <v>78</v>
      </c>
      <c r="P645" s="23">
        <f>IF(G645="غياب",VLOOKUP(C645,Employees!$A$3:$J$36,9,FALSE()),0)</f>
        <v>0</v>
      </c>
    </row>
    <row r="646" spans="1:16" ht="15" customHeight="1">
      <c r="A646" s="26" t="s">
        <v>89</v>
      </c>
      <c r="B646" s="28" t="s">
        <v>81</v>
      </c>
      <c r="C646" s="28" t="s">
        <v>42</v>
      </c>
      <c r="D646" s="28" t="str">
        <f>VLOOKUP(C646,Employees!A:J,2,0)</f>
        <v>مصطفى شريف</v>
      </c>
      <c r="E646" s="29" t="s">
        <v>78</v>
      </c>
      <c r="F646" s="29" t="s">
        <v>78</v>
      </c>
      <c r="G646" s="27" t="s">
        <v>79</v>
      </c>
      <c r="H646" s="29" t="s">
        <v>78</v>
      </c>
      <c r="I646" s="29" t="s">
        <v>78</v>
      </c>
      <c r="J646" s="22" t="s">
        <v>78</v>
      </c>
      <c r="K646" s="47" t="s">
        <v>78</v>
      </c>
      <c r="L646" s="22" t="s">
        <v>78</v>
      </c>
      <c r="M646" s="23" t="s">
        <v>78</v>
      </c>
      <c r="N646" s="24" t="s">
        <v>78</v>
      </c>
      <c r="O646" s="24" t="s">
        <v>78</v>
      </c>
      <c r="P646" s="23">
        <f>IF(G646="غياب",VLOOKUP(C646,Employees!$A$3:$J$36,9,FALSE()),0)</f>
        <v>0</v>
      </c>
    </row>
    <row r="647" spans="1:16" ht="15" customHeight="1">
      <c r="A647" s="17" t="s">
        <v>90</v>
      </c>
      <c r="B647" s="19" t="s">
        <v>83</v>
      </c>
      <c r="C647" s="19" t="s">
        <v>42</v>
      </c>
      <c r="D647" s="19" t="str">
        <f>VLOOKUP(C647,Employees!A:J,2,0)</f>
        <v>مصطفى شريف</v>
      </c>
      <c r="E647" s="20">
        <v>0.41666666666666702</v>
      </c>
      <c r="F647" s="20">
        <v>0.91666666666666696</v>
      </c>
      <c r="G647" s="21" t="s">
        <v>69</v>
      </c>
      <c r="H647" s="20">
        <f t="shared" ref="H647:H651" si="334">E647</f>
        <v>0.41666666666666702</v>
      </c>
      <c r="I647" s="20">
        <f t="shared" ref="I647:I651" si="335">F647</f>
        <v>0.91666666666666696</v>
      </c>
      <c r="J647" s="22">
        <f t="shared" ref="J647:J651" si="336">IF(OR(H647="",G647="غياب",G647="إجازة أسبوعية"),0,
IF(H647&gt;=E647-TIME(0,20,0),0,
IF(H647&gt;=E647-TIME(0,30,0),30,(E647-H647)*1440)))</f>
        <v>0</v>
      </c>
      <c r="K647" s="47">
        <f>(J647/60)*VLOOKUP(C647,Employees!A:J,10,0)*1.5</f>
        <v>0</v>
      </c>
      <c r="L647" s="22">
        <f t="shared" ref="L647:L651" si="337">IF(OR(H647="",G647="غياب",G647="إجازة أسبوعية"),0,
IF(H647&lt;=E647+TIME(0,30,0),0,
30+((H647-(E647+TIME(0,30,0)))*1440)))</f>
        <v>0</v>
      </c>
      <c r="M647" s="23">
        <f>(L647/60)*VLOOKUP(C647,Employees!A:J,10,0)*2</f>
        <v>0</v>
      </c>
      <c r="N647" s="24">
        <f t="shared" ref="N647:N651" si="338">IF(OR(I647="",G647="غياب",G647="إجازة أسبوعية",I647&lt;=F647),0,
IF(MOD(I647-F647,1)&lt;=TIME(0,25,0),0,MAX(0,(I647-F647)*1440)))</f>
        <v>0</v>
      </c>
      <c r="O647" s="25">
        <f>(N647/60)*VLOOKUP(C647,Employees!A:J,10,0)</f>
        <v>0</v>
      </c>
      <c r="P647" s="23">
        <f>IF(G647="غياب",VLOOKUP(C647,Employees!$A$3:$J$36,9,FALSE()),0)</f>
        <v>0</v>
      </c>
    </row>
    <row r="648" spans="1:16" ht="15" customHeight="1">
      <c r="A648" s="17" t="s">
        <v>91</v>
      </c>
      <c r="B648" s="19" t="s">
        <v>68</v>
      </c>
      <c r="C648" s="19" t="s">
        <v>42</v>
      </c>
      <c r="D648" s="19" t="str">
        <f>VLOOKUP(C648,Employees!A:J,2,0)</f>
        <v>مصطفى شريف</v>
      </c>
      <c r="E648" s="20">
        <v>0.41666666666666702</v>
      </c>
      <c r="F648" s="20">
        <v>0.91666666666666696</v>
      </c>
      <c r="G648" s="21" t="s">
        <v>69</v>
      </c>
      <c r="H648" s="20">
        <f t="shared" si="334"/>
        <v>0.41666666666666702</v>
      </c>
      <c r="I648" s="20">
        <f t="shared" si="335"/>
        <v>0.91666666666666696</v>
      </c>
      <c r="J648" s="22">
        <f t="shared" si="336"/>
        <v>0</v>
      </c>
      <c r="K648" s="47">
        <f>(J648/60)*VLOOKUP(C648,Employees!A:J,10,0)*1.5</f>
        <v>0</v>
      </c>
      <c r="L648" s="22">
        <f t="shared" si="337"/>
        <v>0</v>
      </c>
      <c r="M648" s="23">
        <f>(L648/60)*VLOOKUP(C648,Employees!A:J,10,0)*2</f>
        <v>0</v>
      </c>
      <c r="N648" s="24">
        <f t="shared" si="338"/>
        <v>0</v>
      </c>
      <c r="O648" s="25">
        <f>(N648/60)*VLOOKUP(C648,Employees!A:J,10,0)</f>
        <v>0</v>
      </c>
      <c r="P648" s="23">
        <f>IF(G648="غياب",VLOOKUP(C648,Employees!$A$3:$J$36,9,FALSE()),0)</f>
        <v>0</v>
      </c>
    </row>
    <row r="649" spans="1:16" ht="15" customHeight="1">
      <c r="A649" s="17" t="s">
        <v>92</v>
      </c>
      <c r="B649" s="19" t="s">
        <v>71</v>
      </c>
      <c r="C649" s="19" t="s">
        <v>42</v>
      </c>
      <c r="D649" s="19" t="str">
        <f>VLOOKUP(C649,Employees!A:J,2,0)</f>
        <v>مصطفى شريف</v>
      </c>
      <c r="E649" s="20">
        <v>0.41666666666666702</v>
      </c>
      <c r="F649" s="20">
        <v>0.91666666666666696</v>
      </c>
      <c r="G649" s="21" t="s">
        <v>69</v>
      </c>
      <c r="H649" s="20">
        <f t="shared" si="334"/>
        <v>0.41666666666666702</v>
      </c>
      <c r="I649" s="20">
        <f t="shared" si="335"/>
        <v>0.91666666666666696</v>
      </c>
      <c r="J649" s="22">
        <f t="shared" si="336"/>
        <v>0</v>
      </c>
      <c r="K649" s="47">
        <f>(J649/60)*VLOOKUP(C649,Employees!A:J,10,0)*1.5</f>
        <v>0</v>
      </c>
      <c r="L649" s="22">
        <f t="shared" si="337"/>
        <v>0</v>
      </c>
      <c r="M649" s="23">
        <f>(L649/60)*VLOOKUP(C649,Employees!A:J,10,0)*2</f>
        <v>0</v>
      </c>
      <c r="N649" s="24">
        <f t="shared" si="338"/>
        <v>0</v>
      </c>
      <c r="O649" s="25">
        <f>(N649/60)*VLOOKUP(C649,Employees!A:J,10,0)</f>
        <v>0</v>
      </c>
      <c r="P649" s="23">
        <f>IF(G649="غياب",VLOOKUP(C649,Employees!$A$3:$J$36,9,FALSE()),0)</f>
        <v>0</v>
      </c>
    </row>
    <row r="650" spans="1:16" ht="15" customHeight="1">
      <c r="A650" s="17" t="s">
        <v>93</v>
      </c>
      <c r="B650" s="19" t="s">
        <v>73</v>
      </c>
      <c r="C650" s="19" t="s">
        <v>42</v>
      </c>
      <c r="D650" s="19" t="str">
        <f>VLOOKUP(C650,Employees!A:J,2,0)</f>
        <v>مصطفى شريف</v>
      </c>
      <c r="E650" s="20">
        <v>0.41666666666666702</v>
      </c>
      <c r="F650" s="20">
        <v>0.91666666666666696</v>
      </c>
      <c r="G650" s="21" t="s">
        <v>69</v>
      </c>
      <c r="H650" s="20">
        <f t="shared" si="334"/>
        <v>0.41666666666666702</v>
      </c>
      <c r="I650" s="20">
        <f t="shared" si="335"/>
        <v>0.91666666666666696</v>
      </c>
      <c r="J650" s="22">
        <f t="shared" si="336"/>
        <v>0</v>
      </c>
      <c r="K650" s="47">
        <f>(J650/60)*VLOOKUP(C650,Employees!A:J,10,0)*1.5</f>
        <v>0</v>
      </c>
      <c r="L650" s="22">
        <f t="shared" si="337"/>
        <v>0</v>
      </c>
      <c r="M650" s="23">
        <f>(L650/60)*VLOOKUP(C650,Employees!A:J,10,0)*2</f>
        <v>0</v>
      </c>
      <c r="N650" s="24">
        <f t="shared" si="338"/>
        <v>0</v>
      </c>
      <c r="O650" s="25">
        <f>(N650/60)*VLOOKUP(C650,Employees!A:J,10,0)</f>
        <v>0</v>
      </c>
      <c r="P650" s="23">
        <f>IF(G650="غياب",VLOOKUP(C650,Employees!$A$3:$J$36,9,FALSE()),0)</f>
        <v>0</v>
      </c>
    </row>
    <row r="651" spans="1:16" ht="15" customHeight="1">
      <c r="A651" s="17" t="s">
        <v>94</v>
      </c>
      <c r="B651" s="19" t="s">
        <v>75</v>
      </c>
      <c r="C651" s="19" t="s">
        <v>42</v>
      </c>
      <c r="D651" s="19" t="str">
        <f>VLOOKUP(C651,Employees!A:J,2,0)</f>
        <v>مصطفى شريف</v>
      </c>
      <c r="E651" s="20">
        <v>0.41666666666666702</v>
      </c>
      <c r="F651" s="20">
        <v>0.91666666666666696</v>
      </c>
      <c r="G651" s="21" t="s">
        <v>69</v>
      </c>
      <c r="H651" s="20">
        <f t="shared" si="334"/>
        <v>0.41666666666666702</v>
      </c>
      <c r="I651" s="20">
        <f t="shared" si="335"/>
        <v>0.91666666666666696</v>
      </c>
      <c r="J651" s="22">
        <f t="shared" si="336"/>
        <v>0</v>
      </c>
      <c r="K651" s="47">
        <f>(J651/60)*VLOOKUP(C651,Employees!A:J,10,0)*1.5</f>
        <v>0</v>
      </c>
      <c r="L651" s="22">
        <f t="shared" si="337"/>
        <v>0</v>
      </c>
      <c r="M651" s="23">
        <f>(L651/60)*VLOOKUP(C651,Employees!A:J,10,0)*2</f>
        <v>0</v>
      </c>
      <c r="N651" s="24">
        <f t="shared" si="338"/>
        <v>0</v>
      </c>
      <c r="O651" s="25">
        <f>(N651/60)*VLOOKUP(C651,Employees!A:J,10,0)</f>
        <v>0</v>
      </c>
      <c r="P651" s="23">
        <f>IF(G651="غياب",VLOOKUP(C651,Employees!$A$3:$J$36,9,FALSE()),0)</f>
        <v>0</v>
      </c>
    </row>
    <row r="652" spans="1:16" ht="15" customHeight="1">
      <c r="A652" s="26" t="s">
        <v>95</v>
      </c>
      <c r="B652" s="28" t="s">
        <v>77</v>
      </c>
      <c r="C652" s="28" t="s">
        <v>42</v>
      </c>
      <c r="D652" s="28" t="str">
        <f>VLOOKUP(C652,Employees!A:J,2,0)</f>
        <v>مصطفى شريف</v>
      </c>
      <c r="E652" s="29" t="s">
        <v>78</v>
      </c>
      <c r="F652" s="29" t="s">
        <v>78</v>
      </c>
      <c r="G652" s="27" t="s">
        <v>79</v>
      </c>
      <c r="H652" s="29" t="s">
        <v>78</v>
      </c>
      <c r="I652" s="29" t="s">
        <v>78</v>
      </c>
      <c r="J652" s="22" t="s">
        <v>78</v>
      </c>
      <c r="K652" s="47" t="s">
        <v>78</v>
      </c>
      <c r="L652" s="22" t="s">
        <v>78</v>
      </c>
      <c r="M652" s="23" t="s">
        <v>78</v>
      </c>
      <c r="N652" s="24" t="s">
        <v>78</v>
      </c>
      <c r="O652" s="24" t="s">
        <v>78</v>
      </c>
      <c r="P652" s="23">
        <f>IF(G652="غياب",VLOOKUP(C652,Employees!$A$3:$J$36,9,FALSE()),0)</f>
        <v>0</v>
      </c>
    </row>
    <row r="653" spans="1:16" ht="15" customHeight="1">
      <c r="A653" s="17" t="s">
        <v>96</v>
      </c>
      <c r="B653" s="19" t="s">
        <v>81</v>
      </c>
      <c r="C653" s="19" t="s">
        <v>42</v>
      </c>
      <c r="D653" s="19" t="str">
        <f>VLOOKUP(C653,Employees!A:J,2,0)</f>
        <v>مصطفى شريف</v>
      </c>
      <c r="E653" s="20">
        <v>0.41666666666666702</v>
      </c>
      <c r="F653" s="20">
        <v>0.91666666666666696</v>
      </c>
      <c r="G653" s="21" t="s">
        <v>69</v>
      </c>
      <c r="H653" s="20">
        <f t="shared" ref="H653:H658" si="339">E653</f>
        <v>0.41666666666666702</v>
      </c>
      <c r="I653" s="20">
        <f t="shared" ref="I653:I658" si="340">F653</f>
        <v>0.91666666666666696</v>
      </c>
      <c r="J653" s="22">
        <f t="shared" ref="J653:J658" si="341">IF(OR(H653="",G653="غياب",G653="إجازة أسبوعية"),0,
IF(H653&gt;=E653-TIME(0,20,0),0,
IF(H653&gt;=E653-TIME(0,30,0),30,(E653-H653)*1440)))</f>
        <v>0</v>
      </c>
      <c r="K653" s="47">
        <f>(J653/60)*VLOOKUP(C653,Employees!A:J,10,0)*1.5</f>
        <v>0</v>
      </c>
      <c r="L653" s="22">
        <f t="shared" ref="L653:L658" si="342">IF(OR(H653="",G653="غياب",G653="إجازة أسبوعية"),0,
IF(H653&lt;=E653+TIME(0,30,0),0,
30+((H653-(E653+TIME(0,30,0)))*1440)))</f>
        <v>0</v>
      </c>
      <c r="M653" s="23">
        <f>(L653/60)*VLOOKUP(C653,Employees!A:J,10,0)*2</f>
        <v>0</v>
      </c>
      <c r="N653" s="24">
        <f t="shared" ref="N653:N658" si="343">IF(OR(I653="",G653="غياب",G653="إجازة أسبوعية",I653&lt;=F653),0,
IF(MOD(I653-F653,1)&lt;=TIME(0,25,0),0,MAX(0,(I653-F653)*1440)))</f>
        <v>0</v>
      </c>
      <c r="O653" s="25">
        <f>(N653/60)*VLOOKUP(C653,Employees!A:J,10,0)</f>
        <v>0</v>
      </c>
      <c r="P653" s="23">
        <f>IF(G653="غياب",VLOOKUP(C653,Employees!$A$3:$J$36,9,FALSE()),0)</f>
        <v>0</v>
      </c>
    </row>
    <row r="654" spans="1:16" ht="15" customHeight="1">
      <c r="A654" s="17" t="s">
        <v>97</v>
      </c>
      <c r="B654" s="19" t="s">
        <v>83</v>
      </c>
      <c r="C654" s="19" t="s">
        <v>42</v>
      </c>
      <c r="D654" s="19" t="str">
        <f>VLOOKUP(C654,Employees!A:J,2,0)</f>
        <v>مصطفى شريف</v>
      </c>
      <c r="E654" s="20">
        <v>0.41666666666666702</v>
      </c>
      <c r="F654" s="20">
        <v>0.91666666666666696</v>
      </c>
      <c r="G654" s="21" t="s">
        <v>69</v>
      </c>
      <c r="H654" s="20">
        <f t="shared" si="339"/>
        <v>0.41666666666666702</v>
      </c>
      <c r="I654" s="20">
        <f t="shared" si="340"/>
        <v>0.91666666666666696</v>
      </c>
      <c r="J654" s="22">
        <f t="shared" si="341"/>
        <v>0</v>
      </c>
      <c r="K654" s="47">
        <f>(J654/60)*VLOOKUP(C654,Employees!A:J,10,0)*1.5</f>
        <v>0</v>
      </c>
      <c r="L654" s="22">
        <f t="shared" si="342"/>
        <v>0</v>
      </c>
      <c r="M654" s="23">
        <f>(L654/60)*VLOOKUP(C654,Employees!A:J,10,0)*2</f>
        <v>0</v>
      </c>
      <c r="N654" s="24">
        <f t="shared" si="343"/>
        <v>0</v>
      </c>
      <c r="O654" s="25">
        <f>(N654/60)*VLOOKUP(C654,Employees!A:J,10,0)</f>
        <v>0</v>
      </c>
      <c r="P654" s="23">
        <f>IF(G654="غياب",VLOOKUP(C654,Employees!$A$3:$J$36,9,FALSE()),0)</f>
        <v>0</v>
      </c>
    </row>
    <row r="655" spans="1:16" ht="15" customHeight="1">
      <c r="A655" s="17" t="s">
        <v>98</v>
      </c>
      <c r="B655" s="19" t="s">
        <v>68</v>
      </c>
      <c r="C655" s="19" t="s">
        <v>42</v>
      </c>
      <c r="D655" s="19" t="str">
        <f>VLOOKUP(C655,Employees!A:J,2,0)</f>
        <v>مصطفى شريف</v>
      </c>
      <c r="E655" s="20">
        <v>0.41666666666666702</v>
      </c>
      <c r="F655" s="20">
        <v>0.91666666666666696</v>
      </c>
      <c r="G655" s="21" t="s">
        <v>130</v>
      </c>
      <c r="H655" s="20">
        <f t="shared" si="339"/>
        <v>0.41666666666666702</v>
      </c>
      <c r="I655" s="20">
        <f t="shared" si="340"/>
        <v>0.91666666666666696</v>
      </c>
      <c r="J655" s="22">
        <f t="shared" si="341"/>
        <v>0</v>
      </c>
      <c r="K655" s="47">
        <f>(J655/60)*VLOOKUP(C655,Employees!A:J,10,0)*1.5</f>
        <v>0</v>
      </c>
      <c r="L655" s="22">
        <f t="shared" si="342"/>
        <v>0</v>
      </c>
      <c r="M655" s="23">
        <f>(L655/60)*VLOOKUP(C655,Employees!A:J,10,0)*2</f>
        <v>0</v>
      </c>
      <c r="N655" s="24">
        <f t="shared" si="343"/>
        <v>0</v>
      </c>
      <c r="O655" s="25">
        <f>(N655/60)*VLOOKUP(C655,Employees!A:J,10,0)</f>
        <v>0</v>
      </c>
      <c r="P655" s="23">
        <f>IF(G655="غياب",VLOOKUP(C655,Employees!$A$3:$J$36,9,FALSE()),0)</f>
        <v>444.44444444444446</v>
      </c>
    </row>
    <row r="656" spans="1:16" ht="15" customHeight="1">
      <c r="A656" s="17" t="s">
        <v>99</v>
      </c>
      <c r="B656" s="19" t="s">
        <v>71</v>
      </c>
      <c r="C656" s="19" t="s">
        <v>42</v>
      </c>
      <c r="D656" s="19" t="str">
        <f>VLOOKUP(C656,Employees!A:J,2,0)</f>
        <v>مصطفى شريف</v>
      </c>
      <c r="E656" s="20">
        <v>0.41666666666666702</v>
      </c>
      <c r="F656" s="20">
        <v>0.91666666666666696</v>
      </c>
      <c r="G656" s="21" t="s">
        <v>130</v>
      </c>
      <c r="H656" s="20">
        <f t="shared" si="339"/>
        <v>0.41666666666666702</v>
      </c>
      <c r="I656" s="20">
        <f t="shared" si="340"/>
        <v>0.91666666666666696</v>
      </c>
      <c r="J656" s="22">
        <f t="shared" si="341"/>
        <v>0</v>
      </c>
      <c r="K656" s="47">
        <f>(J656/60)*VLOOKUP(C656,Employees!A:J,10,0)*1.5</f>
        <v>0</v>
      </c>
      <c r="L656" s="22">
        <f t="shared" si="342"/>
        <v>0</v>
      </c>
      <c r="M656" s="23">
        <f>(L656/60)*VLOOKUP(C656,Employees!A:J,10,0)*2</f>
        <v>0</v>
      </c>
      <c r="N656" s="24">
        <f t="shared" si="343"/>
        <v>0</v>
      </c>
      <c r="O656" s="25">
        <f>(N656/60)*VLOOKUP(C656,Employees!A:J,10,0)</f>
        <v>0</v>
      </c>
      <c r="P656" s="23">
        <f>IF(G656="غياب",VLOOKUP(C656,Employees!$A$3:$J$36,9,FALSE()),0)</f>
        <v>444.44444444444446</v>
      </c>
    </row>
    <row r="657" spans="1:16" ht="15" customHeight="1">
      <c r="A657" s="17" t="s">
        <v>100</v>
      </c>
      <c r="B657" s="19" t="s">
        <v>73</v>
      </c>
      <c r="C657" s="19" t="s">
        <v>42</v>
      </c>
      <c r="D657" s="19" t="str">
        <f>VLOOKUP(C657,Employees!A:J,2,0)</f>
        <v>مصطفى شريف</v>
      </c>
      <c r="E657" s="20">
        <v>0.375</v>
      </c>
      <c r="F657" s="20">
        <v>0.875</v>
      </c>
      <c r="G657" s="21" t="s">
        <v>130</v>
      </c>
      <c r="H657" s="20">
        <f t="shared" si="339"/>
        <v>0.375</v>
      </c>
      <c r="I657" s="20">
        <f t="shared" si="340"/>
        <v>0.875</v>
      </c>
      <c r="J657" s="22">
        <f t="shared" si="341"/>
        <v>0</v>
      </c>
      <c r="K657" s="47">
        <f>(J657/60)*VLOOKUP(C657,Employees!A:J,10,0)*1.5</f>
        <v>0</v>
      </c>
      <c r="L657" s="22">
        <f t="shared" si="342"/>
        <v>0</v>
      </c>
      <c r="M657" s="23">
        <f>(L657/60)*VLOOKUP(C657,Employees!A:J,10,0)*2</f>
        <v>0</v>
      </c>
      <c r="N657" s="24">
        <f t="shared" si="343"/>
        <v>0</v>
      </c>
      <c r="O657" s="25">
        <f>(N657/60)*VLOOKUP(C657,Employees!A:J,10,0)</f>
        <v>0</v>
      </c>
      <c r="P657" s="23">
        <f>IF(G657="غياب",VLOOKUP(C657,Employees!$A$3:$J$36,9,FALSE()),0)</f>
        <v>444.44444444444446</v>
      </c>
    </row>
    <row r="658" spans="1:16" ht="15" customHeight="1">
      <c r="A658" s="17" t="s">
        <v>101</v>
      </c>
      <c r="B658" s="19" t="s">
        <v>75</v>
      </c>
      <c r="C658" s="19" t="s">
        <v>42</v>
      </c>
      <c r="D658" s="19" t="str">
        <f>VLOOKUP(C658,Employees!A:J,2,0)</f>
        <v>مصطفى شريف</v>
      </c>
      <c r="E658" s="20">
        <v>0.375</v>
      </c>
      <c r="F658" s="20">
        <v>0.875</v>
      </c>
      <c r="G658" s="21" t="s">
        <v>130</v>
      </c>
      <c r="H658" s="20">
        <f t="shared" si="339"/>
        <v>0.375</v>
      </c>
      <c r="I658" s="20">
        <f t="shared" si="340"/>
        <v>0.875</v>
      </c>
      <c r="J658" s="22">
        <f t="shared" si="341"/>
        <v>0</v>
      </c>
      <c r="K658" s="47">
        <f>(J658/60)*VLOOKUP(C658,Employees!A:J,10,0)*1.5</f>
        <v>0</v>
      </c>
      <c r="L658" s="22">
        <f t="shared" si="342"/>
        <v>0</v>
      </c>
      <c r="M658" s="23">
        <f>(L658/60)*VLOOKUP(C658,Employees!A:J,10,0)*2</f>
        <v>0</v>
      </c>
      <c r="N658" s="24">
        <f t="shared" si="343"/>
        <v>0</v>
      </c>
      <c r="O658" s="25">
        <f>(N658/60)*VLOOKUP(C658,Employees!A:J,10,0)</f>
        <v>0</v>
      </c>
      <c r="P658" s="23">
        <f>IF(G658="غياب",VLOOKUP(C658,Employees!$A$3:$J$36,9,FALSE()),0)</f>
        <v>444.44444444444446</v>
      </c>
    </row>
    <row r="659" spans="1:16" ht="15" customHeight="1">
      <c r="A659" s="26" t="s">
        <v>102</v>
      </c>
      <c r="B659" s="28" t="s">
        <v>77</v>
      </c>
      <c r="C659" s="28" t="s">
        <v>42</v>
      </c>
      <c r="D659" s="28" t="str">
        <f>VLOOKUP(C659,Employees!A:J,2,0)</f>
        <v>مصطفى شريف</v>
      </c>
      <c r="E659" s="29" t="s">
        <v>78</v>
      </c>
      <c r="F659" s="29" t="s">
        <v>78</v>
      </c>
      <c r="G659" s="27" t="s">
        <v>79</v>
      </c>
      <c r="H659" s="29" t="s">
        <v>78</v>
      </c>
      <c r="I659" s="29" t="s">
        <v>78</v>
      </c>
      <c r="J659" s="22" t="s">
        <v>78</v>
      </c>
      <c r="K659" s="47" t="s">
        <v>78</v>
      </c>
      <c r="L659" s="22" t="s">
        <v>78</v>
      </c>
      <c r="M659" s="23" t="s">
        <v>78</v>
      </c>
      <c r="N659" s="24" t="s">
        <v>78</v>
      </c>
      <c r="O659" s="24" t="s">
        <v>78</v>
      </c>
      <c r="P659" s="23">
        <f>IF(G659="غياب",VLOOKUP(C659,Employees!$A$3:$J$36,9,FALSE()),0)</f>
        <v>0</v>
      </c>
    </row>
    <row r="660" spans="1:16" ht="15" customHeight="1">
      <c r="A660" s="17" t="s">
        <v>103</v>
      </c>
      <c r="B660" s="19" t="s">
        <v>81</v>
      </c>
      <c r="C660" s="19" t="s">
        <v>42</v>
      </c>
      <c r="D660" s="19" t="str">
        <f>VLOOKUP(C660,Employees!A:J,2,0)</f>
        <v>مصطفى شريف</v>
      </c>
      <c r="E660" s="20">
        <v>0.375</v>
      </c>
      <c r="F660" s="20">
        <v>0.875</v>
      </c>
      <c r="G660" s="21" t="s">
        <v>130</v>
      </c>
      <c r="H660" s="20">
        <f t="shared" ref="H660:H667" si="344">E660</f>
        <v>0.375</v>
      </c>
      <c r="I660" s="20">
        <f t="shared" ref="I660:I663" si="345">F660</f>
        <v>0.875</v>
      </c>
      <c r="J660" s="22">
        <f t="shared" ref="J660:J667" si="346">IF(OR(H660="",G660="غياب",G660="إجازة أسبوعية"),0,
IF(H660&gt;=E660-TIME(0,20,0),0,
IF(H660&gt;=E660-TIME(0,30,0),30,(E660-H660)*1440)))</f>
        <v>0</v>
      </c>
      <c r="K660" s="47">
        <f>(J660/60)*VLOOKUP(C660,Employees!A:J,10,0)*1.5</f>
        <v>0</v>
      </c>
      <c r="L660" s="22">
        <f t="shared" ref="L660:L667" si="347">IF(OR(H660="",G660="غياب",G660="إجازة أسبوعية"),0,
IF(H660&lt;=E660+TIME(0,30,0),0,
30+((H660-(E660+TIME(0,30,0)))*1440)))</f>
        <v>0</v>
      </c>
      <c r="M660" s="23">
        <f>(L660/60)*VLOOKUP(C660,Employees!A:J,10,0)*2</f>
        <v>0</v>
      </c>
      <c r="N660" s="24">
        <f t="shared" ref="N660:N667" si="348">IF(OR(I660="",G660="غياب",G660="إجازة أسبوعية",I660&lt;=F660),0,
IF(MOD(I660-F660,1)&lt;=TIME(0,25,0),0,MAX(0,(I660-F660)*1440)))</f>
        <v>0</v>
      </c>
      <c r="O660" s="25">
        <f>(N660/60)*VLOOKUP(C660,Employees!A:J,10,0)</f>
        <v>0</v>
      </c>
      <c r="P660" s="23">
        <f>IF(G660="غياب",VLOOKUP(C660,Employees!$A$3:$J$36,9,FALSE()),0)</f>
        <v>444.44444444444446</v>
      </c>
    </row>
    <row r="661" spans="1:16" ht="15" customHeight="1">
      <c r="A661" s="17" t="s">
        <v>104</v>
      </c>
      <c r="B661" s="19" t="s">
        <v>83</v>
      </c>
      <c r="C661" s="19" t="s">
        <v>42</v>
      </c>
      <c r="D661" s="19" t="str">
        <f>VLOOKUP(C661,Employees!A:J,2,0)</f>
        <v>مصطفى شريف</v>
      </c>
      <c r="E661" s="20">
        <v>0.375</v>
      </c>
      <c r="F661" s="20">
        <v>0.875</v>
      </c>
      <c r="G661" s="21" t="s">
        <v>130</v>
      </c>
      <c r="H661" s="20">
        <f t="shared" si="344"/>
        <v>0.375</v>
      </c>
      <c r="I661" s="20">
        <f t="shared" si="345"/>
        <v>0.875</v>
      </c>
      <c r="J661" s="22">
        <f t="shared" si="346"/>
        <v>0</v>
      </c>
      <c r="K661" s="47">
        <f>(J661/60)*VLOOKUP(C661,Employees!A:J,10,0)*1.5</f>
        <v>0</v>
      </c>
      <c r="L661" s="22">
        <f t="shared" si="347"/>
        <v>0</v>
      </c>
      <c r="M661" s="23">
        <f>(L661/60)*VLOOKUP(C661,Employees!A:J,10,0)*2</f>
        <v>0</v>
      </c>
      <c r="N661" s="24">
        <f t="shared" si="348"/>
        <v>0</v>
      </c>
      <c r="O661" s="25">
        <f>(N661/60)*VLOOKUP(C661,Employees!A:J,10,0)</f>
        <v>0</v>
      </c>
      <c r="P661" s="23">
        <f>IF(G661="غياب",VLOOKUP(C661,Employees!$A$3:$J$36,9,FALSE()),0)</f>
        <v>444.44444444444446</v>
      </c>
    </row>
    <row r="662" spans="1:16" ht="15" customHeight="1">
      <c r="A662" s="17" t="s">
        <v>105</v>
      </c>
      <c r="B662" s="19" t="s">
        <v>68</v>
      </c>
      <c r="C662" s="19" t="s">
        <v>42</v>
      </c>
      <c r="D662" s="19" t="str">
        <f>VLOOKUP(C662,Employees!A:J,2,0)</f>
        <v>مصطفى شريف</v>
      </c>
      <c r="E662" s="20">
        <v>0.375</v>
      </c>
      <c r="F662" s="20">
        <v>0.875</v>
      </c>
      <c r="G662" s="21" t="s">
        <v>130</v>
      </c>
      <c r="H662" s="20">
        <f t="shared" si="344"/>
        <v>0.375</v>
      </c>
      <c r="I662" s="20">
        <f t="shared" si="345"/>
        <v>0.875</v>
      </c>
      <c r="J662" s="22">
        <f t="shared" si="346"/>
        <v>0</v>
      </c>
      <c r="K662" s="47">
        <f>(J662/60)*VLOOKUP(C662,Employees!A:J,10,0)*1.5</f>
        <v>0</v>
      </c>
      <c r="L662" s="22">
        <f t="shared" si="347"/>
        <v>0</v>
      </c>
      <c r="M662" s="23">
        <f>(L662/60)*VLOOKUP(C662,Employees!A:J,10,0)*2</f>
        <v>0</v>
      </c>
      <c r="N662" s="24">
        <f t="shared" si="348"/>
        <v>0</v>
      </c>
      <c r="O662" s="25">
        <f>(N662/60)*VLOOKUP(C662,Employees!A:J,10,0)</f>
        <v>0</v>
      </c>
      <c r="P662" s="23">
        <f>IF(G662="غياب",VLOOKUP(C662,Employees!$A$3:$J$36,9,FALSE()),0)</f>
        <v>444.44444444444446</v>
      </c>
    </row>
    <row r="663" spans="1:16" ht="15" customHeight="1">
      <c r="A663" s="17" t="s">
        <v>106</v>
      </c>
      <c r="B663" s="19" t="s">
        <v>71</v>
      </c>
      <c r="C663" s="19" t="s">
        <v>42</v>
      </c>
      <c r="D663" s="19" t="str">
        <f>VLOOKUP(C663,Employees!A:J,2,0)</f>
        <v>مصطفى شريف</v>
      </c>
      <c r="E663" s="20">
        <v>0.375</v>
      </c>
      <c r="F663" s="20">
        <v>0.875</v>
      </c>
      <c r="G663" s="21" t="s">
        <v>130</v>
      </c>
      <c r="H663" s="20">
        <f t="shared" si="344"/>
        <v>0.375</v>
      </c>
      <c r="I663" s="20">
        <f t="shared" si="345"/>
        <v>0.875</v>
      </c>
      <c r="J663" s="22">
        <f t="shared" si="346"/>
        <v>0</v>
      </c>
      <c r="K663" s="47">
        <f>(J663/60)*VLOOKUP(C663,Employees!A:J,10,0)*1.5</f>
        <v>0</v>
      </c>
      <c r="L663" s="22">
        <f t="shared" si="347"/>
        <v>0</v>
      </c>
      <c r="M663" s="23">
        <f>(L663/60)*VLOOKUP(C663,Employees!A:J,10,0)*2</f>
        <v>0</v>
      </c>
      <c r="N663" s="24">
        <f t="shared" si="348"/>
        <v>0</v>
      </c>
      <c r="O663" s="25">
        <f>(N663/60)*VLOOKUP(C663,Employees!A:J,10,0)</f>
        <v>0</v>
      </c>
      <c r="P663" s="23">
        <f>IF(G663="غياب",VLOOKUP(C663,Employees!$A$3:$J$36,9,FALSE()),0)</f>
        <v>444.44444444444446</v>
      </c>
    </row>
    <row r="664" spans="1:16" ht="15" customHeight="1">
      <c r="A664" s="17" t="s">
        <v>67</v>
      </c>
      <c r="B664" s="19" t="s">
        <v>68</v>
      </c>
      <c r="C664" s="19" t="s">
        <v>43</v>
      </c>
      <c r="D664" s="19" t="str">
        <f>VLOOKUP(C664,Employees!A:J,2,0)</f>
        <v>احمد اشرف</v>
      </c>
      <c r="E664" s="20">
        <v>0.375</v>
      </c>
      <c r="F664" s="20">
        <v>0.875</v>
      </c>
      <c r="G664" s="21" t="s">
        <v>69</v>
      </c>
      <c r="H664" s="20">
        <f t="shared" si="344"/>
        <v>0.375</v>
      </c>
      <c r="I664" s="20">
        <v>0.85902777777777772</v>
      </c>
      <c r="J664" s="22">
        <f t="shared" si="346"/>
        <v>0</v>
      </c>
      <c r="K664" s="47">
        <f>(J664/60)*VLOOKUP(C664,Employees!A:J,10,0)*1.5</f>
        <v>0</v>
      </c>
      <c r="L664" s="22">
        <f t="shared" si="347"/>
        <v>0</v>
      </c>
      <c r="M664" s="23">
        <f>(L664/60)*VLOOKUP(C664,Employees!A:J,10,0)*2</f>
        <v>0</v>
      </c>
      <c r="N664" s="24">
        <f t="shared" si="348"/>
        <v>0</v>
      </c>
      <c r="O664" s="25">
        <f>(N664/60)*VLOOKUP(C664,Employees!A:J,10,0)</f>
        <v>0</v>
      </c>
      <c r="P664" s="23">
        <f>IF(G664="غياب",VLOOKUP(C664,Employees!$A$3:$J$36,9,FALSE()),0)</f>
        <v>0</v>
      </c>
    </row>
    <row r="665" spans="1:16" ht="15" customHeight="1">
      <c r="A665" s="17" t="s">
        <v>70</v>
      </c>
      <c r="B665" s="19" t="s">
        <v>71</v>
      </c>
      <c r="C665" s="19" t="s">
        <v>43</v>
      </c>
      <c r="D665" s="19" t="str">
        <f>VLOOKUP(C665,Employees!A:J,2,0)</f>
        <v>احمد اشرف</v>
      </c>
      <c r="E665" s="20">
        <v>0.375</v>
      </c>
      <c r="F665" s="20">
        <v>0.875</v>
      </c>
      <c r="G665" s="21" t="s">
        <v>69</v>
      </c>
      <c r="H665" s="20">
        <f t="shared" si="344"/>
        <v>0.375</v>
      </c>
      <c r="I665" s="20">
        <v>0.86458333333333337</v>
      </c>
      <c r="J665" s="22">
        <f t="shared" si="346"/>
        <v>0</v>
      </c>
      <c r="K665" s="47">
        <f>(J665/60)*VLOOKUP(C665,Employees!A:J,10,0)*1.5</f>
        <v>0</v>
      </c>
      <c r="L665" s="22">
        <f t="shared" si="347"/>
        <v>0</v>
      </c>
      <c r="M665" s="23">
        <f>(L665/60)*VLOOKUP(C665,Employees!A:J,10,0)*2</f>
        <v>0</v>
      </c>
      <c r="N665" s="24">
        <f t="shared" si="348"/>
        <v>0</v>
      </c>
      <c r="O665" s="25">
        <f>(N665/60)*VLOOKUP(C665,Employees!A:J,10,0)</f>
        <v>0</v>
      </c>
      <c r="P665" s="23">
        <f>IF(G665="غياب",VLOOKUP(C665,Employees!$A$3:$J$36,9,FALSE()),0)</f>
        <v>0</v>
      </c>
    </row>
    <row r="666" spans="1:16" ht="15" customHeight="1">
      <c r="A666" s="17" t="s">
        <v>72</v>
      </c>
      <c r="B666" s="19" t="s">
        <v>73</v>
      </c>
      <c r="C666" s="19" t="s">
        <v>43</v>
      </c>
      <c r="D666" s="19" t="str">
        <f>VLOOKUP(C666,Employees!A:J,2,0)</f>
        <v>احمد اشرف</v>
      </c>
      <c r="E666" s="20">
        <v>0.375</v>
      </c>
      <c r="F666" s="20">
        <v>0.875</v>
      </c>
      <c r="G666" s="21" t="s">
        <v>69</v>
      </c>
      <c r="H666" s="20">
        <f t="shared" si="344"/>
        <v>0.375</v>
      </c>
      <c r="I666" s="20">
        <v>0.88888888888888884</v>
      </c>
      <c r="J666" s="22">
        <f t="shared" si="346"/>
        <v>0</v>
      </c>
      <c r="K666" s="47">
        <f>(J666/60)*VLOOKUP(C666,Employees!A:J,10,0)*1.5</f>
        <v>0</v>
      </c>
      <c r="L666" s="22">
        <f t="shared" si="347"/>
        <v>0</v>
      </c>
      <c r="M666" s="23">
        <f>(L666/60)*VLOOKUP(C666,Employees!A:J,10,0)*2</f>
        <v>0</v>
      </c>
      <c r="N666" s="24">
        <f t="shared" si="348"/>
        <v>0</v>
      </c>
      <c r="O666" s="25">
        <f>(N666/60)*VLOOKUP(C666,Employees!A:J,10,0)</f>
        <v>0</v>
      </c>
      <c r="P666" s="23">
        <f>IF(G666="غياب",VLOOKUP(C666,Employees!$A$3:$J$36,9,FALSE()),0)</f>
        <v>0</v>
      </c>
    </row>
    <row r="667" spans="1:16" ht="15" customHeight="1">
      <c r="A667" s="17" t="s">
        <v>74</v>
      </c>
      <c r="B667" s="19" t="s">
        <v>75</v>
      </c>
      <c r="C667" s="19" t="s">
        <v>43</v>
      </c>
      <c r="D667" s="19" t="str">
        <f>VLOOKUP(C667,Employees!A:J,2,0)</f>
        <v>احمد اشرف</v>
      </c>
      <c r="E667" s="20">
        <v>0.375</v>
      </c>
      <c r="F667" s="20">
        <v>0.875</v>
      </c>
      <c r="G667" s="21" t="s">
        <v>69</v>
      </c>
      <c r="H667" s="20">
        <f t="shared" si="344"/>
        <v>0.375</v>
      </c>
      <c r="I667" s="20">
        <v>0.86041666666666672</v>
      </c>
      <c r="J667" s="22">
        <f t="shared" si="346"/>
        <v>0</v>
      </c>
      <c r="K667" s="47">
        <f>(J667/60)*VLOOKUP(C667,Employees!A:J,10,0)*1.5</f>
        <v>0</v>
      </c>
      <c r="L667" s="22">
        <f t="shared" si="347"/>
        <v>0</v>
      </c>
      <c r="M667" s="23">
        <f>(L667/60)*VLOOKUP(C667,Employees!A:J,10,0)*2</f>
        <v>0</v>
      </c>
      <c r="N667" s="24">
        <f t="shared" si="348"/>
        <v>0</v>
      </c>
      <c r="O667" s="25">
        <f>(N667/60)*VLOOKUP(C667,Employees!A:J,10,0)</f>
        <v>0</v>
      </c>
      <c r="P667" s="23">
        <f>IF(G667="غياب",VLOOKUP(C667,Employees!$A$3:$J$36,9,FALSE()),0)</f>
        <v>0</v>
      </c>
    </row>
    <row r="668" spans="1:16" ht="15" customHeight="1">
      <c r="A668" s="26" t="s">
        <v>76</v>
      </c>
      <c r="B668" s="28" t="s">
        <v>77</v>
      </c>
      <c r="C668" s="28" t="s">
        <v>43</v>
      </c>
      <c r="D668" s="28" t="str">
        <f>VLOOKUP(C668,Employees!A:J,2,0)</f>
        <v>احمد اشرف</v>
      </c>
      <c r="E668" s="29" t="s">
        <v>78</v>
      </c>
      <c r="F668" s="29" t="s">
        <v>78</v>
      </c>
      <c r="G668" s="27" t="s">
        <v>79</v>
      </c>
      <c r="H668" s="29" t="s">
        <v>78</v>
      </c>
      <c r="I668" s="29" t="s">
        <v>78</v>
      </c>
      <c r="J668" s="22" t="s">
        <v>78</v>
      </c>
      <c r="K668" s="47" t="s">
        <v>78</v>
      </c>
      <c r="L668" s="22" t="s">
        <v>78</v>
      </c>
      <c r="M668" s="23" t="s">
        <v>78</v>
      </c>
      <c r="N668" s="24" t="s">
        <v>78</v>
      </c>
      <c r="O668" s="24" t="s">
        <v>78</v>
      </c>
      <c r="P668" s="23">
        <f>IF(G668="غياب",VLOOKUP(C668,Employees!$A$3:$J$36,9,FALSE()),0)</f>
        <v>0</v>
      </c>
    </row>
    <row r="669" spans="1:16" ht="15" customHeight="1">
      <c r="A669" s="17" t="s">
        <v>80</v>
      </c>
      <c r="B669" s="19" t="s">
        <v>81</v>
      </c>
      <c r="C669" s="19" t="s">
        <v>43</v>
      </c>
      <c r="D669" s="19" t="str">
        <f>VLOOKUP(C669,Employees!A:J,2,0)</f>
        <v>احمد اشرف</v>
      </c>
      <c r="E669" s="20">
        <v>0.375</v>
      </c>
      <c r="F669" s="20">
        <v>0.875</v>
      </c>
      <c r="G669" s="21" t="s">
        <v>69</v>
      </c>
      <c r="H669" s="20">
        <f t="shared" ref="H669:H674" si="349">E669</f>
        <v>0.375</v>
      </c>
      <c r="I669" s="20">
        <v>0.86736111111111114</v>
      </c>
      <c r="J669" s="22">
        <f t="shared" ref="J669:J674" si="350">IF(OR(H669="",G669="غياب",G669="إجازة أسبوعية"),0,
IF(H669&gt;=E669-TIME(0,20,0),0,
IF(H669&gt;=E669-TIME(0,30,0),30,(E669-H669)*1440)))</f>
        <v>0</v>
      </c>
      <c r="K669" s="47">
        <f>(J669/60)*VLOOKUP(C669,Employees!A:J,10,0)*1.5</f>
        <v>0</v>
      </c>
      <c r="L669" s="22">
        <f t="shared" ref="L669:L674" si="351">IF(OR(H669="",G669="غياب",G669="إجازة أسبوعية"),0,
IF(H669&lt;=E669+TIME(0,30,0),0,
30+((H669-(E669+TIME(0,30,0)))*1440)))</f>
        <v>0</v>
      </c>
      <c r="M669" s="23">
        <f>(L669/60)*VLOOKUP(C669,Employees!A:J,10,0)*2</f>
        <v>0</v>
      </c>
      <c r="N669" s="24">
        <f t="shared" ref="N669:N674" si="352">IF(OR(I669="",G669="غياب",G669="إجازة أسبوعية",I669&lt;=F669),0,
IF(MOD(I669-F669,1)&lt;=TIME(0,25,0),0,MAX(0,(I669-F669)*1440)))</f>
        <v>0</v>
      </c>
      <c r="O669" s="25">
        <f>(N669/60)*VLOOKUP(C669,Employees!A:J,10,0)</f>
        <v>0</v>
      </c>
      <c r="P669" s="23">
        <f>IF(G669="غياب",VLOOKUP(C669,Employees!$A$3:$J$36,9,FALSE()),0)</f>
        <v>0</v>
      </c>
    </row>
    <row r="670" spans="1:16" ht="15" customHeight="1">
      <c r="A670" s="17" t="s">
        <v>82</v>
      </c>
      <c r="B670" s="19" t="s">
        <v>83</v>
      </c>
      <c r="C670" s="19" t="s">
        <v>43</v>
      </c>
      <c r="D670" s="19" t="str">
        <f>VLOOKUP(C670,Employees!A:J,2,0)</f>
        <v>احمد اشرف</v>
      </c>
      <c r="E670" s="20">
        <v>0.375</v>
      </c>
      <c r="F670" s="20">
        <v>0.875</v>
      </c>
      <c r="G670" s="21" t="s">
        <v>69</v>
      </c>
      <c r="H670" s="20">
        <f t="shared" si="349"/>
        <v>0.375</v>
      </c>
      <c r="I670" s="20">
        <v>0.87222222222222223</v>
      </c>
      <c r="J670" s="22">
        <f t="shared" si="350"/>
        <v>0</v>
      </c>
      <c r="K670" s="47">
        <f>(J670/60)*VLOOKUP(C670,Employees!A:J,10,0)*1.5</f>
        <v>0</v>
      </c>
      <c r="L670" s="22">
        <f t="shared" si="351"/>
        <v>0</v>
      </c>
      <c r="M670" s="23">
        <f>(L670/60)*VLOOKUP(C670,Employees!A:J,10,0)*2</f>
        <v>0</v>
      </c>
      <c r="N670" s="24">
        <f t="shared" si="352"/>
        <v>0</v>
      </c>
      <c r="O670" s="25">
        <f>(N670/60)*VLOOKUP(C670,Employees!A:J,10,0)</f>
        <v>0</v>
      </c>
      <c r="P670" s="23">
        <f>IF(G670="غياب",VLOOKUP(C670,Employees!$A$3:$J$36,9,FALSE()),0)</f>
        <v>0</v>
      </c>
    </row>
    <row r="671" spans="1:16" ht="15" customHeight="1">
      <c r="A671" s="17" t="s">
        <v>84</v>
      </c>
      <c r="B671" s="19" t="s">
        <v>68</v>
      </c>
      <c r="C671" s="19" t="s">
        <v>43</v>
      </c>
      <c r="D671" s="19" t="str">
        <f>VLOOKUP(C671,Employees!A:J,2,0)</f>
        <v>احمد اشرف</v>
      </c>
      <c r="E671" s="20">
        <v>0.375</v>
      </c>
      <c r="F671" s="20">
        <v>0.875</v>
      </c>
      <c r="G671" s="21" t="s">
        <v>69</v>
      </c>
      <c r="H671" s="20">
        <f t="shared" si="349"/>
        <v>0.375</v>
      </c>
      <c r="I671" s="20">
        <v>0.94444444444444442</v>
      </c>
      <c r="J671" s="22">
        <f t="shared" si="350"/>
        <v>0</v>
      </c>
      <c r="K671" s="47">
        <f>(J671/60)*VLOOKUP(C671,Employees!A:J,10,0)*1.5</f>
        <v>0</v>
      </c>
      <c r="L671" s="22">
        <f t="shared" si="351"/>
        <v>0</v>
      </c>
      <c r="M671" s="23">
        <f>(L671/60)*VLOOKUP(C671,Employees!A:J,10,0)*2</f>
        <v>0</v>
      </c>
      <c r="N671" s="24">
        <f t="shared" si="352"/>
        <v>99.999999999999972</v>
      </c>
      <c r="O671" s="25">
        <f>(N671/60)*VLOOKUP(C671,Employees!A:J,10,0)</f>
        <v>61.728395061728385</v>
      </c>
      <c r="P671" s="23">
        <f>IF(G671="غياب",VLOOKUP(C671,Employees!$A$3:$J$36,9,FALSE()),0)</f>
        <v>0</v>
      </c>
    </row>
    <row r="672" spans="1:16" ht="15" customHeight="1">
      <c r="A672" s="17" t="s">
        <v>85</v>
      </c>
      <c r="B672" s="19" t="s">
        <v>71</v>
      </c>
      <c r="C672" s="19" t="s">
        <v>43</v>
      </c>
      <c r="D672" s="19" t="str">
        <f>VLOOKUP(C672,Employees!A:J,2,0)</f>
        <v>احمد اشرف</v>
      </c>
      <c r="E672" s="20">
        <v>0.375</v>
      </c>
      <c r="F672" s="20">
        <v>0.875</v>
      </c>
      <c r="G672" s="21" t="s">
        <v>69</v>
      </c>
      <c r="H672" s="20">
        <f t="shared" si="349"/>
        <v>0.375</v>
      </c>
      <c r="I672" s="20">
        <v>0.91041666666666665</v>
      </c>
      <c r="J672" s="22">
        <f t="shared" si="350"/>
        <v>0</v>
      </c>
      <c r="K672" s="47">
        <f>(J672/60)*VLOOKUP(C672,Employees!A:J,10,0)*1.5</f>
        <v>0</v>
      </c>
      <c r="L672" s="22">
        <f t="shared" si="351"/>
        <v>0</v>
      </c>
      <c r="M672" s="23">
        <f>(L672/60)*VLOOKUP(C672,Employees!A:J,10,0)*2</f>
        <v>0</v>
      </c>
      <c r="N672" s="24">
        <f t="shared" si="352"/>
        <v>50.999999999999979</v>
      </c>
      <c r="O672" s="25">
        <f>(N672/60)*VLOOKUP(C672,Employees!A:J,10,0)</f>
        <v>31.48148148148147</v>
      </c>
      <c r="P672" s="23">
        <f>IF(G672="غياب",VLOOKUP(C672,Employees!$A$3:$J$36,9,FALSE()),0)</f>
        <v>0</v>
      </c>
    </row>
    <row r="673" spans="1:16" ht="15" customHeight="1">
      <c r="A673" s="17" t="s">
        <v>86</v>
      </c>
      <c r="B673" s="19" t="s">
        <v>73</v>
      </c>
      <c r="C673" s="19" t="s">
        <v>43</v>
      </c>
      <c r="D673" s="19" t="str">
        <f>VLOOKUP(C673,Employees!A:J,2,0)</f>
        <v>احمد اشرف</v>
      </c>
      <c r="E673" s="20">
        <v>0.375</v>
      </c>
      <c r="F673" s="20">
        <v>0.875</v>
      </c>
      <c r="G673" s="21" t="s">
        <v>69</v>
      </c>
      <c r="H673" s="20">
        <f t="shared" si="349"/>
        <v>0.375</v>
      </c>
      <c r="I673" s="20">
        <v>0.91041666666666665</v>
      </c>
      <c r="J673" s="22">
        <f t="shared" si="350"/>
        <v>0</v>
      </c>
      <c r="K673" s="47">
        <f>(J673/60)*VLOOKUP(C673,Employees!A:J,10,0)*1.5</f>
        <v>0</v>
      </c>
      <c r="L673" s="22">
        <f t="shared" si="351"/>
        <v>0</v>
      </c>
      <c r="M673" s="23">
        <f>(L673/60)*VLOOKUP(C673,Employees!A:J,10,0)*2</f>
        <v>0</v>
      </c>
      <c r="N673" s="24">
        <f t="shared" si="352"/>
        <v>50.999999999999979</v>
      </c>
      <c r="O673" s="25">
        <f>(N673/60)*VLOOKUP(C673,Employees!A:J,10,0)</f>
        <v>31.48148148148147</v>
      </c>
      <c r="P673" s="23">
        <f>IF(G673="غياب",VLOOKUP(C673,Employees!$A$3:$J$36,9,FALSE()),0)</f>
        <v>0</v>
      </c>
    </row>
    <row r="674" spans="1:16" ht="15" customHeight="1">
      <c r="A674" s="17" t="s">
        <v>87</v>
      </c>
      <c r="B674" s="19" t="s">
        <v>75</v>
      </c>
      <c r="C674" s="19" t="s">
        <v>43</v>
      </c>
      <c r="D674" s="19" t="str">
        <f>VLOOKUP(C674,Employees!A:J,2,0)</f>
        <v>احمد اشرف</v>
      </c>
      <c r="E674" s="20">
        <v>0.41666666666666702</v>
      </c>
      <c r="F674" s="20">
        <v>0.91666666666666696</v>
      </c>
      <c r="G674" s="21" t="s">
        <v>69</v>
      </c>
      <c r="H674" s="20">
        <f t="shared" si="349"/>
        <v>0.41666666666666702</v>
      </c>
      <c r="I674" s="20">
        <v>0.91527777777777775</v>
      </c>
      <c r="J674" s="22">
        <f t="shared" si="350"/>
        <v>0</v>
      </c>
      <c r="K674" s="47">
        <f>(J674/60)*VLOOKUP(C674,Employees!A:J,10,0)*1.5</f>
        <v>0</v>
      </c>
      <c r="L674" s="22">
        <f t="shared" si="351"/>
        <v>0</v>
      </c>
      <c r="M674" s="23">
        <f>(L674/60)*VLOOKUP(C674,Employees!A:J,10,0)*2</f>
        <v>0</v>
      </c>
      <c r="N674" s="24">
        <f t="shared" si="352"/>
        <v>0</v>
      </c>
      <c r="O674" s="25">
        <f>(N674/60)*VLOOKUP(C674,Employees!A:J,10,0)</f>
        <v>0</v>
      </c>
      <c r="P674" s="23">
        <f>IF(G674="غياب",VLOOKUP(C674,Employees!$A$3:$J$36,9,FALSE()),0)</f>
        <v>0</v>
      </c>
    </row>
    <row r="675" spans="1:16" ht="15" customHeight="1">
      <c r="A675" s="26" t="s">
        <v>88</v>
      </c>
      <c r="B675" s="28" t="s">
        <v>77</v>
      </c>
      <c r="C675" s="28" t="s">
        <v>43</v>
      </c>
      <c r="D675" s="28" t="str">
        <f>VLOOKUP(C675,Employees!A:J,2,0)</f>
        <v>احمد اشرف</v>
      </c>
      <c r="E675" s="29" t="s">
        <v>78</v>
      </c>
      <c r="F675" s="29" t="s">
        <v>78</v>
      </c>
      <c r="G675" s="27" t="s">
        <v>79</v>
      </c>
      <c r="H675" s="29" t="s">
        <v>78</v>
      </c>
      <c r="I675" s="29" t="s">
        <v>78</v>
      </c>
      <c r="J675" s="22" t="s">
        <v>78</v>
      </c>
      <c r="K675" s="47" t="s">
        <v>78</v>
      </c>
      <c r="L675" s="22" t="s">
        <v>78</v>
      </c>
      <c r="M675" s="23" t="s">
        <v>78</v>
      </c>
      <c r="N675" s="24" t="s">
        <v>78</v>
      </c>
      <c r="O675" s="24" t="s">
        <v>78</v>
      </c>
      <c r="P675" s="23">
        <f>IF(G675="غياب",VLOOKUP(C675,Employees!$A$3:$J$36,9,FALSE()),0)</f>
        <v>0</v>
      </c>
    </row>
    <row r="676" spans="1:16" ht="15" customHeight="1">
      <c r="A676" s="26" t="s">
        <v>89</v>
      </c>
      <c r="B676" s="28" t="s">
        <v>81</v>
      </c>
      <c r="C676" s="28" t="s">
        <v>43</v>
      </c>
      <c r="D676" s="28" t="str">
        <f>VLOOKUP(C676,Employees!A:J,2,0)</f>
        <v>احمد اشرف</v>
      </c>
      <c r="E676" s="29" t="s">
        <v>78</v>
      </c>
      <c r="F676" s="29" t="s">
        <v>78</v>
      </c>
      <c r="G676" s="27" t="s">
        <v>79</v>
      </c>
      <c r="H676" s="29" t="s">
        <v>78</v>
      </c>
      <c r="I676" s="29" t="s">
        <v>78</v>
      </c>
      <c r="J676" s="22" t="s">
        <v>78</v>
      </c>
      <c r="K676" s="47" t="s">
        <v>78</v>
      </c>
      <c r="L676" s="22" t="s">
        <v>78</v>
      </c>
      <c r="M676" s="23" t="s">
        <v>78</v>
      </c>
      <c r="N676" s="24" t="s">
        <v>78</v>
      </c>
      <c r="O676" s="24" t="s">
        <v>78</v>
      </c>
      <c r="P676" s="23">
        <f>IF(G676="غياب",VLOOKUP(C676,Employees!$A$3:$J$36,9,FALSE()),0)</f>
        <v>0</v>
      </c>
    </row>
    <row r="677" spans="1:16" ht="15" customHeight="1">
      <c r="A677" s="17" t="s">
        <v>90</v>
      </c>
      <c r="B677" s="19" t="s">
        <v>83</v>
      </c>
      <c r="C677" s="19" t="s">
        <v>43</v>
      </c>
      <c r="D677" s="19" t="str">
        <f>VLOOKUP(C677,Employees!A:J,2,0)</f>
        <v>احمد اشرف</v>
      </c>
      <c r="E677" s="20">
        <v>0.41666666666666702</v>
      </c>
      <c r="F677" s="20">
        <v>0.91666666666666696</v>
      </c>
      <c r="G677" s="21" t="s">
        <v>69</v>
      </c>
      <c r="H677" s="20">
        <f t="shared" ref="H677:H681" si="353">E677</f>
        <v>0.41666666666666702</v>
      </c>
      <c r="I677" s="20">
        <v>0.93194444444444446</v>
      </c>
      <c r="J677" s="22">
        <f t="shared" ref="J677:J681" si="354">IF(OR(H677="",G677="غياب",G677="إجازة أسبوعية"),0,
IF(H677&gt;=E677-TIME(0,20,0),0,
IF(H677&gt;=E677-TIME(0,30,0),30,(E677-H677)*1440)))</f>
        <v>0</v>
      </c>
      <c r="K677" s="47">
        <f>(J677/60)*VLOOKUP(C677,Employees!A:J,10,0)*1.5</f>
        <v>0</v>
      </c>
      <c r="L677" s="22">
        <f t="shared" ref="L677:L681" si="355">IF(OR(H677="",G677="غياب",G677="إجازة أسبوعية"),0,
IF(H677&lt;=E677+TIME(0,30,0),0,
30+((H677-(E677+TIME(0,30,0)))*1440)))</f>
        <v>0</v>
      </c>
      <c r="M677" s="23">
        <f>(L677/60)*VLOOKUP(C677,Employees!A:J,10,0)*2</f>
        <v>0</v>
      </c>
      <c r="N677" s="24">
        <f t="shared" ref="N677:N681" si="356">IF(OR(I677="",G677="غياب",G677="إجازة أسبوعية",I677&lt;=F677),0,
IF(MOD(I677-F677,1)&lt;=TIME(0,25,0),0,MAX(0,(I677-F677)*1440)))</f>
        <v>0</v>
      </c>
      <c r="O677" s="25">
        <f>(N677/60)*VLOOKUP(C677,Employees!A:J,10,0)</f>
        <v>0</v>
      </c>
      <c r="P677" s="23">
        <f>IF(G677="غياب",VLOOKUP(C677,Employees!$A$3:$J$36,9,FALSE()),0)</f>
        <v>0</v>
      </c>
    </row>
    <row r="678" spans="1:16" ht="15" customHeight="1">
      <c r="A678" s="17" t="s">
        <v>91</v>
      </c>
      <c r="B678" s="19" t="s">
        <v>68</v>
      </c>
      <c r="C678" s="19" t="s">
        <v>43</v>
      </c>
      <c r="D678" s="19" t="str">
        <f>VLOOKUP(C678,Employees!A:J,2,0)</f>
        <v>احمد اشرف</v>
      </c>
      <c r="E678" s="20">
        <v>0.41666666666666702</v>
      </c>
      <c r="F678" s="20">
        <v>0.91666666666666696</v>
      </c>
      <c r="G678" s="21" t="s">
        <v>69</v>
      </c>
      <c r="H678" s="20">
        <f t="shared" si="353"/>
        <v>0.41666666666666702</v>
      </c>
      <c r="I678" s="20">
        <v>0.91666666666666663</v>
      </c>
      <c r="J678" s="22">
        <f t="shared" si="354"/>
        <v>0</v>
      </c>
      <c r="K678" s="47">
        <f>(J678/60)*VLOOKUP(C678,Employees!A:J,10,0)*1.5</f>
        <v>0</v>
      </c>
      <c r="L678" s="22">
        <f t="shared" si="355"/>
        <v>0</v>
      </c>
      <c r="M678" s="23">
        <f>(L678/60)*VLOOKUP(C678,Employees!A:J,10,0)*2</f>
        <v>0</v>
      </c>
      <c r="N678" s="24">
        <f t="shared" si="356"/>
        <v>0</v>
      </c>
      <c r="O678" s="25">
        <f>(N678/60)*VLOOKUP(C678,Employees!A:J,10,0)</f>
        <v>0</v>
      </c>
      <c r="P678" s="23">
        <f>IF(G678="غياب",VLOOKUP(C678,Employees!$A$3:$J$36,9,FALSE()),0)</f>
        <v>0</v>
      </c>
    </row>
    <row r="679" spans="1:16" ht="15" customHeight="1">
      <c r="A679" s="17" t="s">
        <v>92</v>
      </c>
      <c r="B679" s="19" t="s">
        <v>71</v>
      </c>
      <c r="C679" s="19" t="s">
        <v>43</v>
      </c>
      <c r="D679" s="19" t="str">
        <f>VLOOKUP(C679,Employees!A:J,2,0)</f>
        <v>احمد اشرف</v>
      </c>
      <c r="E679" s="20">
        <v>0.41666666666666702</v>
      </c>
      <c r="F679" s="20">
        <v>0.91666666666666696</v>
      </c>
      <c r="G679" s="21" t="s">
        <v>69</v>
      </c>
      <c r="H679" s="20">
        <f t="shared" si="353"/>
        <v>0.41666666666666702</v>
      </c>
      <c r="I679" s="20">
        <v>0.93541666666666667</v>
      </c>
      <c r="J679" s="22">
        <f t="shared" si="354"/>
        <v>0</v>
      </c>
      <c r="K679" s="47">
        <f>(J679/60)*VLOOKUP(C679,Employees!A:J,10,0)*1.5</f>
        <v>0</v>
      </c>
      <c r="L679" s="22">
        <f t="shared" si="355"/>
        <v>0</v>
      </c>
      <c r="M679" s="23">
        <f>(L679/60)*VLOOKUP(C679,Employees!A:J,10,0)*2</f>
        <v>0</v>
      </c>
      <c r="N679" s="24">
        <f t="shared" si="356"/>
        <v>26.999999999999584</v>
      </c>
      <c r="O679" s="25">
        <f>(N679/60)*VLOOKUP(C679,Employees!A:J,10,0)</f>
        <v>16.666666666666412</v>
      </c>
      <c r="P679" s="23">
        <f>IF(G679="غياب",VLOOKUP(C679,Employees!$A$3:$J$36,9,FALSE()),0)</f>
        <v>0</v>
      </c>
    </row>
    <row r="680" spans="1:16" ht="15" customHeight="1">
      <c r="A680" s="17" t="s">
        <v>93</v>
      </c>
      <c r="B680" s="19" t="s">
        <v>73</v>
      </c>
      <c r="C680" s="19" t="s">
        <v>43</v>
      </c>
      <c r="D680" s="19" t="str">
        <f>VLOOKUP(C680,Employees!A:J,2,0)</f>
        <v>احمد اشرف</v>
      </c>
      <c r="E680" s="20">
        <v>0.41666666666666702</v>
      </c>
      <c r="F680" s="20">
        <v>0.91666666666666696</v>
      </c>
      <c r="G680" s="21" t="s">
        <v>69</v>
      </c>
      <c r="H680" s="20">
        <f t="shared" si="353"/>
        <v>0.41666666666666702</v>
      </c>
      <c r="I680" s="20">
        <v>0.91666666666666663</v>
      </c>
      <c r="J680" s="22">
        <f t="shared" si="354"/>
        <v>0</v>
      </c>
      <c r="K680" s="47">
        <f>(J680/60)*VLOOKUP(C680,Employees!A:J,10,0)*1.5</f>
        <v>0</v>
      </c>
      <c r="L680" s="22">
        <f t="shared" si="355"/>
        <v>0</v>
      </c>
      <c r="M680" s="23">
        <f>(L680/60)*VLOOKUP(C680,Employees!A:J,10,0)*2</f>
        <v>0</v>
      </c>
      <c r="N680" s="24">
        <f t="shared" si="356"/>
        <v>0</v>
      </c>
      <c r="O680" s="25">
        <f>(N680/60)*VLOOKUP(C680,Employees!A:J,10,0)</f>
        <v>0</v>
      </c>
      <c r="P680" s="23">
        <f>IF(G680="غياب",VLOOKUP(C680,Employees!$A$3:$J$36,9,FALSE()),0)</f>
        <v>0</v>
      </c>
    </row>
    <row r="681" spans="1:16" ht="15" customHeight="1">
      <c r="A681" s="17" t="s">
        <v>94</v>
      </c>
      <c r="B681" s="19" t="s">
        <v>75</v>
      </c>
      <c r="C681" s="19" t="s">
        <v>43</v>
      </c>
      <c r="D681" s="19" t="str">
        <f>VLOOKUP(C681,Employees!A:J,2,0)</f>
        <v>احمد اشرف</v>
      </c>
      <c r="E681" s="20">
        <v>0.41666666666666702</v>
      </c>
      <c r="F681" s="20">
        <v>0.91666666666666696</v>
      </c>
      <c r="G681" s="21" t="s">
        <v>69</v>
      </c>
      <c r="H681" s="20">
        <f t="shared" si="353"/>
        <v>0.41666666666666702</v>
      </c>
      <c r="I681" s="20">
        <v>1.0166666666666666</v>
      </c>
      <c r="J681" s="22">
        <f t="shared" si="354"/>
        <v>0</v>
      </c>
      <c r="K681" s="47">
        <f>(J681/60)*VLOOKUP(C681,Employees!A:J,10,0)*1.5</f>
        <v>0</v>
      </c>
      <c r="L681" s="22">
        <f t="shared" si="355"/>
        <v>0</v>
      </c>
      <c r="M681" s="23">
        <f>(L681/60)*VLOOKUP(C681,Employees!A:J,10,0)*2</f>
        <v>0</v>
      </c>
      <c r="N681" s="24">
        <f t="shared" si="356"/>
        <v>143.99999999999949</v>
      </c>
      <c r="O681" s="25">
        <f>(N681/60)*VLOOKUP(C681,Employees!A:J,10,0)</f>
        <v>88.888888888888573</v>
      </c>
      <c r="P681" s="23">
        <f>IF(G681="غياب",VLOOKUP(C681,Employees!$A$3:$J$36,9,FALSE()),0)</f>
        <v>0</v>
      </c>
    </row>
    <row r="682" spans="1:16" ht="15" customHeight="1">
      <c r="A682" s="26" t="s">
        <v>95</v>
      </c>
      <c r="B682" s="28" t="s">
        <v>77</v>
      </c>
      <c r="C682" s="28" t="s">
        <v>43</v>
      </c>
      <c r="D682" s="28" t="str">
        <f>VLOOKUP(C682,Employees!A:J,2,0)</f>
        <v>احمد اشرف</v>
      </c>
      <c r="E682" s="29" t="s">
        <v>78</v>
      </c>
      <c r="F682" s="29" t="s">
        <v>78</v>
      </c>
      <c r="G682" s="27" t="s">
        <v>79</v>
      </c>
      <c r="H682" s="29" t="s">
        <v>78</v>
      </c>
      <c r="I682" s="29" t="s">
        <v>78</v>
      </c>
      <c r="J682" s="22" t="s">
        <v>78</v>
      </c>
      <c r="K682" s="47" t="s">
        <v>78</v>
      </c>
      <c r="L682" s="22" t="s">
        <v>78</v>
      </c>
      <c r="M682" s="23" t="s">
        <v>78</v>
      </c>
      <c r="N682" s="24" t="s">
        <v>78</v>
      </c>
      <c r="O682" s="24" t="s">
        <v>78</v>
      </c>
      <c r="P682" s="23">
        <f>IF(G682="غياب",VLOOKUP(C682,Employees!$A$3:$J$36,9,FALSE()),0)</f>
        <v>0</v>
      </c>
    </row>
    <row r="683" spans="1:16" ht="15" customHeight="1">
      <c r="A683" s="48" t="s">
        <v>96</v>
      </c>
      <c r="B683" s="49" t="s">
        <v>81</v>
      </c>
      <c r="C683" s="49" t="s">
        <v>43</v>
      </c>
      <c r="D683" s="49" t="str">
        <f>VLOOKUP(C683,Employees!A:J,2,0)</f>
        <v>احمد اشرف</v>
      </c>
      <c r="E683" s="50">
        <v>0.41666666666666702</v>
      </c>
      <c r="F683" s="50">
        <v>0.91666666666666696</v>
      </c>
      <c r="G683" s="51" t="s">
        <v>130</v>
      </c>
      <c r="H683" s="50">
        <f t="shared" ref="H683:H688" si="357">E683</f>
        <v>0.41666666666666702</v>
      </c>
      <c r="I683" s="50" t="s">
        <v>78</v>
      </c>
      <c r="J683" s="22" t="s">
        <v>78</v>
      </c>
      <c r="K683" s="47" t="s">
        <v>78</v>
      </c>
      <c r="L683" s="22" t="s">
        <v>78</v>
      </c>
      <c r="M683" s="23" t="s">
        <v>78</v>
      </c>
      <c r="N683" s="24" t="s">
        <v>78</v>
      </c>
      <c r="O683" s="25" t="s">
        <v>78</v>
      </c>
      <c r="P683" s="23">
        <f>IF(G683="غياب",VLOOKUP(C683,Employees!$A$3:$J$36,9,FALSE()),0)</f>
        <v>444.44444444444446</v>
      </c>
    </row>
    <row r="684" spans="1:16" ht="15" customHeight="1">
      <c r="A684" s="17" t="s">
        <v>97</v>
      </c>
      <c r="B684" s="19" t="s">
        <v>83</v>
      </c>
      <c r="C684" s="19" t="s">
        <v>43</v>
      </c>
      <c r="D684" s="19" t="str">
        <f>VLOOKUP(C684,Employees!A:J,2,0)</f>
        <v>احمد اشرف</v>
      </c>
      <c r="E684" s="20">
        <v>0.41666666666666702</v>
      </c>
      <c r="F684" s="20">
        <v>0.91666666666666696</v>
      </c>
      <c r="G684" s="21" t="s">
        <v>69</v>
      </c>
      <c r="H684" s="20">
        <f t="shared" si="357"/>
        <v>0.41666666666666702</v>
      </c>
      <c r="I684" s="20">
        <v>0.95625000000000004</v>
      </c>
      <c r="J684" s="22">
        <f t="shared" ref="J684:J688" si="358">IF(OR(H684="",G684="غياب",G684="إجازة أسبوعية"),0,
IF(H684&gt;=E684-TIME(0,20,0),0,
IF(H684&gt;=E684-TIME(0,30,0),30,(E684-H684)*1440)))</f>
        <v>0</v>
      </c>
      <c r="K684" s="47">
        <f>(J684/60)*VLOOKUP(C684,Employees!A:J,10,0)*1.5</f>
        <v>0</v>
      </c>
      <c r="L684" s="22">
        <f t="shared" ref="L684:L688" si="359">IF(OR(H684="",G684="غياب",G684="إجازة أسبوعية"),0,
IF(H684&lt;=E684+TIME(0,30,0),0,
30+((H684-(E684+TIME(0,30,0)))*1440)))</f>
        <v>0</v>
      </c>
      <c r="M684" s="23">
        <f>(L684/60)*VLOOKUP(C684,Employees!A:J,10,0)*2</f>
        <v>0</v>
      </c>
      <c r="N684" s="24">
        <f t="shared" ref="N684:N688" si="360">IF(OR(I684="",G684="غياب",G684="إجازة أسبوعية",I684&lt;=F684),0,
IF(MOD(I684-F684,1)&lt;=TIME(0,25,0),0,MAX(0,(I684-F684)*1440)))</f>
        <v>56.999999999999638</v>
      </c>
      <c r="O684" s="25">
        <f>(N684/60)*VLOOKUP(C684,Employees!A:J,10,0)</f>
        <v>35.185185185184963</v>
      </c>
      <c r="P684" s="23">
        <f>IF(G684="غياب",VLOOKUP(C684,Employees!$A$3:$J$36,9,FALSE()),0)</f>
        <v>0</v>
      </c>
    </row>
    <row r="685" spans="1:16" ht="15" customHeight="1">
      <c r="A685" s="17" t="s">
        <v>98</v>
      </c>
      <c r="B685" s="19" t="s">
        <v>68</v>
      </c>
      <c r="C685" s="19" t="s">
        <v>43</v>
      </c>
      <c r="D685" s="19" t="str">
        <f>VLOOKUP(C685,Employees!A:J,2,0)</f>
        <v>احمد اشرف</v>
      </c>
      <c r="E685" s="20">
        <v>0.41666666666666702</v>
      </c>
      <c r="F685" s="20">
        <v>0.91666666666666696</v>
      </c>
      <c r="G685" s="21" t="s">
        <v>69</v>
      </c>
      <c r="H685" s="20">
        <f t="shared" si="357"/>
        <v>0.41666666666666702</v>
      </c>
      <c r="I685" s="20">
        <v>0.93819444444444444</v>
      </c>
      <c r="J685" s="22">
        <f t="shared" si="358"/>
        <v>0</v>
      </c>
      <c r="K685" s="47">
        <f>(J685/60)*VLOOKUP(C685,Employees!A:J,10,0)*1.5</f>
        <v>0</v>
      </c>
      <c r="L685" s="22">
        <f t="shared" si="359"/>
        <v>0</v>
      </c>
      <c r="M685" s="23">
        <f>(L685/60)*VLOOKUP(C685,Employees!A:J,10,0)*2</f>
        <v>0</v>
      </c>
      <c r="N685" s="24">
        <f t="shared" si="360"/>
        <v>30.99999999999957</v>
      </c>
      <c r="O685" s="25">
        <f>(N685/60)*VLOOKUP(C685,Employees!A:J,10,0)</f>
        <v>19.135802469135538</v>
      </c>
      <c r="P685" s="23">
        <f>IF(G685="غياب",VLOOKUP(C685,Employees!$A$3:$J$36,9,FALSE()),0)</f>
        <v>0</v>
      </c>
    </row>
    <row r="686" spans="1:16" ht="15" customHeight="1">
      <c r="A686" s="17" t="s">
        <v>99</v>
      </c>
      <c r="B686" s="19" t="s">
        <v>71</v>
      </c>
      <c r="C686" s="19" t="s">
        <v>43</v>
      </c>
      <c r="D686" s="19" t="str">
        <f>VLOOKUP(C686,Employees!A:J,2,0)</f>
        <v>احمد اشرف</v>
      </c>
      <c r="E686" s="20">
        <v>0.41666666666666702</v>
      </c>
      <c r="F686" s="20">
        <v>0.91666666666666696</v>
      </c>
      <c r="G686" s="21" t="s">
        <v>69</v>
      </c>
      <c r="H686" s="20">
        <f t="shared" si="357"/>
        <v>0.41666666666666702</v>
      </c>
      <c r="I686" s="20">
        <v>0.95902777777777781</v>
      </c>
      <c r="J686" s="22">
        <f t="shared" si="358"/>
        <v>0</v>
      </c>
      <c r="K686" s="47">
        <f>(J686/60)*VLOOKUP(C686,Employees!A:J,10,0)*1.5</f>
        <v>0</v>
      </c>
      <c r="L686" s="22">
        <f t="shared" si="359"/>
        <v>0</v>
      </c>
      <c r="M686" s="23">
        <f>(L686/60)*VLOOKUP(C686,Employees!A:J,10,0)*2</f>
        <v>0</v>
      </c>
      <c r="N686" s="24">
        <f t="shared" si="360"/>
        <v>60.999999999999623</v>
      </c>
      <c r="O686" s="25">
        <f>(N686/60)*VLOOKUP(C686,Employees!A:J,10,0)</f>
        <v>37.654320987654089</v>
      </c>
      <c r="P686" s="23">
        <f>IF(G686="غياب",VLOOKUP(C686,Employees!$A$3:$J$36,9,FALSE()),0)</f>
        <v>0</v>
      </c>
    </row>
    <row r="687" spans="1:16" ht="15" customHeight="1">
      <c r="A687" s="17" t="s">
        <v>100</v>
      </c>
      <c r="B687" s="19" t="s">
        <v>73</v>
      </c>
      <c r="C687" s="19" t="s">
        <v>43</v>
      </c>
      <c r="D687" s="19" t="str">
        <f>VLOOKUP(C687,Employees!A:J,2,0)</f>
        <v>احمد اشرف</v>
      </c>
      <c r="E687" s="20">
        <v>0.375</v>
      </c>
      <c r="F687" s="20">
        <v>0.875</v>
      </c>
      <c r="G687" s="21" t="s">
        <v>69</v>
      </c>
      <c r="H687" s="20">
        <f t="shared" si="357"/>
        <v>0.375</v>
      </c>
      <c r="I687" s="20">
        <v>0.88402777777777775</v>
      </c>
      <c r="J687" s="22">
        <f t="shared" si="358"/>
        <v>0</v>
      </c>
      <c r="K687" s="47">
        <f>(J687/60)*VLOOKUP(C687,Employees!A:J,10,0)*1.5</f>
        <v>0</v>
      </c>
      <c r="L687" s="22">
        <f t="shared" si="359"/>
        <v>0</v>
      </c>
      <c r="M687" s="23">
        <f>(L687/60)*VLOOKUP(C687,Employees!A:J,10,0)*2</f>
        <v>0</v>
      </c>
      <c r="N687" s="24">
        <f t="shared" si="360"/>
        <v>0</v>
      </c>
      <c r="O687" s="25">
        <f>(N687/60)*VLOOKUP(C687,Employees!A:J,10,0)</f>
        <v>0</v>
      </c>
      <c r="P687" s="23">
        <f>IF(G687="غياب",VLOOKUP(C687,Employees!$A$3:$J$36,9,FALSE()),0)</f>
        <v>0</v>
      </c>
    </row>
    <row r="688" spans="1:16" ht="15" customHeight="1">
      <c r="A688" s="17" t="s">
        <v>101</v>
      </c>
      <c r="B688" s="19" t="s">
        <v>75</v>
      </c>
      <c r="C688" s="19" t="s">
        <v>43</v>
      </c>
      <c r="D688" s="19" t="str">
        <f>VLOOKUP(C688,Employees!A:J,2,0)</f>
        <v>احمد اشرف</v>
      </c>
      <c r="E688" s="20">
        <v>0.375</v>
      </c>
      <c r="F688" s="20">
        <v>0.875</v>
      </c>
      <c r="G688" s="21" t="s">
        <v>69</v>
      </c>
      <c r="H688" s="20">
        <f t="shared" si="357"/>
        <v>0.375</v>
      </c>
      <c r="I688" s="20">
        <v>0.91111111111111109</v>
      </c>
      <c r="J688" s="22">
        <f t="shared" si="358"/>
        <v>0</v>
      </c>
      <c r="K688" s="47">
        <f>(J688/60)*VLOOKUP(C688,Employees!A:J,10,0)*1.5</f>
        <v>0</v>
      </c>
      <c r="L688" s="22">
        <f t="shared" si="359"/>
        <v>0</v>
      </c>
      <c r="M688" s="23">
        <f>(L688/60)*VLOOKUP(C688,Employees!A:J,10,0)*2</f>
        <v>0</v>
      </c>
      <c r="N688" s="24">
        <f t="shared" si="360"/>
        <v>51.999999999999972</v>
      </c>
      <c r="O688" s="25">
        <f>(N688/60)*VLOOKUP(C688,Employees!A:J,10,0)</f>
        <v>32.098765432098745</v>
      </c>
      <c r="P688" s="23">
        <f>IF(G688="غياب",VLOOKUP(C688,Employees!$A$3:$J$36,9,FALSE()),0)</f>
        <v>0</v>
      </c>
    </row>
    <row r="689" spans="1:16" ht="15" customHeight="1">
      <c r="A689" s="26" t="s">
        <v>102</v>
      </c>
      <c r="B689" s="28" t="s">
        <v>77</v>
      </c>
      <c r="C689" s="28" t="s">
        <v>43</v>
      </c>
      <c r="D689" s="28" t="str">
        <f>VLOOKUP(C689,Employees!A:J,2,0)</f>
        <v>احمد اشرف</v>
      </c>
      <c r="E689" s="29" t="s">
        <v>78</v>
      </c>
      <c r="F689" s="29" t="s">
        <v>78</v>
      </c>
      <c r="G689" s="27" t="s">
        <v>79</v>
      </c>
      <c r="H689" s="29" t="s">
        <v>78</v>
      </c>
      <c r="I689" s="29" t="s">
        <v>78</v>
      </c>
      <c r="J689" s="22" t="s">
        <v>78</v>
      </c>
      <c r="K689" s="47" t="s">
        <v>78</v>
      </c>
      <c r="L689" s="22" t="s">
        <v>78</v>
      </c>
      <c r="M689" s="23" t="s">
        <v>78</v>
      </c>
      <c r="N689" s="24" t="s">
        <v>78</v>
      </c>
      <c r="O689" s="24" t="s">
        <v>78</v>
      </c>
      <c r="P689" s="23">
        <f>IF(G689="غياب",VLOOKUP(C689,Employees!$A$3:$J$36,9,FALSE()),0)</f>
        <v>0</v>
      </c>
    </row>
    <row r="690" spans="1:16" ht="15" customHeight="1">
      <c r="A690" s="17" t="s">
        <v>103</v>
      </c>
      <c r="B690" s="19" t="s">
        <v>81</v>
      </c>
      <c r="C690" s="19" t="s">
        <v>43</v>
      </c>
      <c r="D690" s="19" t="str">
        <f>VLOOKUP(C690,Employees!A:J,2,0)</f>
        <v>احمد اشرف</v>
      </c>
      <c r="E690" s="20">
        <v>0.375</v>
      </c>
      <c r="F690" s="20">
        <v>0.875</v>
      </c>
      <c r="G690" s="21" t="s">
        <v>69</v>
      </c>
      <c r="H690" s="20">
        <f t="shared" ref="H690:H693" si="361">E690</f>
        <v>0.375</v>
      </c>
      <c r="I690" s="20">
        <v>0.92708333333333337</v>
      </c>
      <c r="J690" s="22">
        <f t="shared" ref="J690:J693" si="362">IF(OR(H690="",G690="غياب",G690="إجازة أسبوعية"),0,
IF(H690&gt;=E690-TIME(0,20,0),0,
IF(H690&gt;=E690-TIME(0,30,0),30,(E690-H690)*1440)))</f>
        <v>0</v>
      </c>
      <c r="K690" s="47">
        <f>(J690/60)*VLOOKUP(C690,Employees!A:J,10,0)*1.5</f>
        <v>0</v>
      </c>
      <c r="L690" s="22">
        <f t="shared" ref="L690:L693" si="363">IF(OR(H690="",G690="غياب",G690="إجازة أسبوعية"),0,
IF(H690&lt;=E690+TIME(0,30,0),0,
30+((H690-(E690+TIME(0,30,0)))*1440)))</f>
        <v>0</v>
      </c>
      <c r="M690" s="23">
        <f>(L690/60)*VLOOKUP(C690,Employees!A:J,10,0)*2</f>
        <v>0</v>
      </c>
      <c r="N690" s="24">
        <f t="shared" ref="N690:N693" si="364">IF(OR(I690="",G690="غياب",G690="إجازة أسبوعية",I690&lt;=F690),0,
IF(MOD(I690-F690,1)&lt;=TIME(0,25,0),0,MAX(0,(I690-F690)*1440)))</f>
        <v>75.000000000000057</v>
      </c>
      <c r="O690" s="25">
        <f>(N690/60)*VLOOKUP(C690,Employees!A:J,10,0)</f>
        <v>46.296296296296333</v>
      </c>
      <c r="P690" s="23">
        <f>IF(G690="غياب",VLOOKUP(C690,Employees!$A$3:$J$36,9,FALSE()),0)</f>
        <v>0</v>
      </c>
    </row>
    <row r="691" spans="1:16" ht="15" customHeight="1">
      <c r="A691" s="17" t="s">
        <v>104</v>
      </c>
      <c r="B691" s="19" t="s">
        <v>83</v>
      </c>
      <c r="C691" s="19" t="s">
        <v>43</v>
      </c>
      <c r="D691" s="19" t="str">
        <f>VLOOKUP(C691,Employees!A:J,2,0)</f>
        <v>احمد اشرف</v>
      </c>
      <c r="E691" s="20">
        <v>0.375</v>
      </c>
      <c r="F691" s="20">
        <v>0.875</v>
      </c>
      <c r="G691" s="21" t="s">
        <v>69</v>
      </c>
      <c r="H691" s="20">
        <f t="shared" si="361"/>
        <v>0.375</v>
      </c>
      <c r="I691" s="20">
        <v>0.91736111111111107</v>
      </c>
      <c r="J691" s="22">
        <f t="shared" si="362"/>
        <v>0</v>
      </c>
      <c r="K691" s="47">
        <f>(J691/60)*VLOOKUP(C691,Employees!A:J,10,0)*1.5</f>
        <v>0</v>
      </c>
      <c r="L691" s="22">
        <f t="shared" si="363"/>
        <v>0</v>
      </c>
      <c r="M691" s="23">
        <f>(L691/60)*VLOOKUP(C691,Employees!A:J,10,0)*2</f>
        <v>0</v>
      </c>
      <c r="N691" s="24">
        <f t="shared" si="364"/>
        <v>60.999999999999943</v>
      </c>
      <c r="O691" s="25">
        <f>(N691/60)*VLOOKUP(C691,Employees!A:J,10,0)</f>
        <v>37.654320987654287</v>
      </c>
      <c r="P691" s="23">
        <f>IF(G691="غياب",VLOOKUP(C691,Employees!$A$3:$J$36,9,FALSE()),0)</f>
        <v>0</v>
      </c>
    </row>
    <row r="692" spans="1:16" ht="15" customHeight="1">
      <c r="A692" s="17" t="s">
        <v>105</v>
      </c>
      <c r="B692" s="19" t="s">
        <v>68</v>
      </c>
      <c r="C692" s="19" t="s">
        <v>43</v>
      </c>
      <c r="D692" s="19" t="str">
        <f>VLOOKUP(C692,Employees!A:J,2,0)</f>
        <v>احمد اشرف</v>
      </c>
      <c r="E692" s="20">
        <v>0.375</v>
      </c>
      <c r="F692" s="20">
        <v>0.875</v>
      </c>
      <c r="G692" s="21" t="s">
        <v>69</v>
      </c>
      <c r="H692" s="20">
        <f t="shared" si="361"/>
        <v>0.375</v>
      </c>
      <c r="I692" s="30">
        <v>0.91597222222222219</v>
      </c>
      <c r="J692" s="22">
        <f t="shared" si="362"/>
        <v>0</v>
      </c>
      <c r="K692" s="47">
        <f>(J692/60)*VLOOKUP(C692,Employees!A:J,10,0)*1.5</f>
        <v>0</v>
      </c>
      <c r="L692" s="22">
        <f t="shared" si="363"/>
        <v>0</v>
      </c>
      <c r="M692" s="23">
        <f>(L692/60)*VLOOKUP(C692,Employees!A:J,10,0)*2</f>
        <v>0</v>
      </c>
      <c r="N692" s="24">
        <f t="shared" si="364"/>
        <v>58.99999999999995</v>
      </c>
      <c r="O692" s="25">
        <f>(N692/60)*VLOOKUP(C692,Employees!A:J,10,0)</f>
        <v>36.419753086419725</v>
      </c>
      <c r="P692" s="23">
        <f>IF(G692="غياب",VLOOKUP(C692,Employees!$A$3:$J$36,9,FALSE()),0)</f>
        <v>0</v>
      </c>
    </row>
    <row r="693" spans="1:16" ht="15" customHeight="1">
      <c r="A693" s="17" t="s">
        <v>106</v>
      </c>
      <c r="B693" s="19" t="s">
        <v>71</v>
      </c>
      <c r="C693" s="19" t="s">
        <v>43</v>
      </c>
      <c r="D693" s="19" t="str">
        <f>VLOOKUP(C693,Employees!A:J,2,0)</f>
        <v>احمد اشرف</v>
      </c>
      <c r="E693" s="20">
        <v>0.375</v>
      </c>
      <c r="F693" s="20">
        <v>0.875</v>
      </c>
      <c r="G693" s="21" t="s">
        <v>69</v>
      </c>
      <c r="H693" s="20">
        <f t="shared" si="361"/>
        <v>0.375</v>
      </c>
      <c r="I693" s="30">
        <v>0.88263888888888886</v>
      </c>
      <c r="J693" s="22">
        <f t="shared" si="362"/>
        <v>0</v>
      </c>
      <c r="K693" s="47">
        <f>(J693/60)*VLOOKUP(C693,Employees!A:J,10,0)*1.5</f>
        <v>0</v>
      </c>
      <c r="L693" s="22">
        <f t="shared" si="363"/>
        <v>0</v>
      </c>
      <c r="M693" s="23">
        <f>(L693/60)*VLOOKUP(C693,Employees!A:J,10,0)*2</f>
        <v>0</v>
      </c>
      <c r="N693" s="24">
        <f t="shared" si="364"/>
        <v>0</v>
      </c>
      <c r="O693" s="25">
        <f>(N693/60)*VLOOKUP(C693,Employees!A:J,10,0)</f>
        <v>0</v>
      </c>
      <c r="P693" s="23">
        <f>IF(G693="غياب",VLOOKUP(C693,Employees!$A$3:$J$36,9,FALSE()),0)</f>
        <v>0</v>
      </c>
    </row>
    <row r="694" spans="1:16" ht="15" customHeight="1">
      <c r="A694" s="48" t="s">
        <v>67</v>
      </c>
      <c r="B694" s="49" t="s">
        <v>68</v>
      </c>
      <c r="C694" s="49" t="s">
        <v>44</v>
      </c>
      <c r="D694" s="49" t="str">
        <f>VLOOKUP(C694,Employees!A:J,2,0)</f>
        <v>منى ناصر</v>
      </c>
      <c r="E694" s="50" t="s">
        <v>78</v>
      </c>
      <c r="F694" s="50" t="s">
        <v>78</v>
      </c>
      <c r="G694" s="51" t="s">
        <v>130</v>
      </c>
      <c r="H694" s="50" t="s">
        <v>78</v>
      </c>
      <c r="I694" s="53" t="s">
        <v>78</v>
      </c>
      <c r="J694" s="22" t="s">
        <v>78</v>
      </c>
      <c r="K694" s="47" t="s">
        <v>78</v>
      </c>
      <c r="L694" s="22" t="s">
        <v>78</v>
      </c>
      <c r="M694" s="23" t="s">
        <v>78</v>
      </c>
      <c r="N694" s="24" t="s">
        <v>78</v>
      </c>
      <c r="O694" s="25" t="s">
        <v>78</v>
      </c>
      <c r="P694" s="23">
        <f>IF(G694="غياب",VLOOKUP(C694,Employees!$A$3:$J$36,9,FALSE()),0)</f>
        <v>388.88888888888891</v>
      </c>
    </row>
    <row r="695" spans="1:16" ht="15" customHeight="1">
      <c r="A695" s="17" t="s">
        <v>70</v>
      </c>
      <c r="B695" s="19" t="s">
        <v>71</v>
      </c>
      <c r="C695" s="19" t="s">
        <v>44</v>
      </c>
      <c r="D695" s="19" t="str">
        <f>VLOOKUP(C695,Employees!A:J,2,0)</f>
        <v>منى ناصر</v>
      </c>
      <c r="E695" s="20" t="s">
        <v>78</v>
      </c>
      <c r="F695" s="20" t="s">
        <v>78</v>
      </c>
      <c r="G695" s="21" t="s">
        <v>69</v>
      </c>
      <c r="H695" s="20" t="s">
        <v>78</v>
      </c>
      <c r="I695" s="30" t="s">
        <v>78</v>
      </c>
      <c r="J695" s="22" t="s">
        <v>78</v>
      </c>
      <c r="K695" s="47" t="s">
        <v>78</v>
      </c>
      <c r="L695" s="22" t="s">
        <v>78</v>
      </c>
      <c r="M695" s="23" t="s">
        <v>78</v>
      </c>
      <c r="N695" s="24" t="s">
        <v>78</v>
      </c>
      <c r="O695" s="25" t="s">
        <v>78</v>
      </c>
      <c r="P695" s="23">
        <f>IF(G695="غياب",VLOOKUP(C695,Employees!$A$3:$J$36,9,FALSE()),0)</f>
        <v>0</v>
      </c>
    </row>
    <row r="696" spans="1:16" ht="15" customHeight="1">
      <c r="A696" s="17" t="s">
        <v>72</v>
      </c>
      <c r="B696" s="19" t="s">
        <v>73</v>
      </c>
      <c r="C696" s="19" t="s">
        <v>44</v>
      </c>
      <c r="D696" s="19" t="str">
        <f>VLOOKUP(C696,Employees!A:J,2,0)</f>
        <v>منى ناصر</v>
      </c>
      <c r="E696" s="20" t="s">
        <v>78</v>
      </c>
      <c r="F696" s="20" t="s">
        <v>78</v>
      </c>
      <c r="G696" s="21" t="s">
        <v>69</v>
      </c>
      <c r="H696" s="20" t="s">
        <v>78</v>
      </c>
      <c r="I696" s="20" t="s">
        <v>78</v>
      </c>
      <c r="J696" s="22" t="s">
        <v>78</v>
      </c>
      <c r="K696" s="47" t="s">
        <v>78</v>
      </c>
      <c r="L696" s="22" t="s">
        <v>78</v>
      </c>
      <c r="M696" s="23" t="s">
        <v>78</v>
      </c>
      <c r="N696" s="24" t="s">
        <v>78</v>
      </c>
      <c r="O696" s="25" t="s">
        <v>78</v>
      </c>
      <c r="P696" s="23">
        <f>IF(G696="غياب",VLOOKUP(C696,Employees!$A$3:$J$36,9,FALSE()),0)</f>
        <v>0</v>
      </c>
    </row>
    <row r="697" spans="1:16" ht="15" customHeight="1">
      <c r="A697" s="17" t="s">
        <v>74</v>
      </c>
      <c r="B697" s="19" t="s">
        <v>75</v>
      </c>
      <c r="C697" s="19" t="s">
        <v>44</v>
      </c>
      <c r="D697" s="19" t="str">
        <f>VLOOKUP(C697,Employees!A:J,2,0)</f>
        <v>منى ناصر</v>
      </c>
      <c r="E697" s="20" t="s">
        <v>78</v>
      </c>
      <c r="F697" s="20" t="s">
        <v>78</v>
      </c>
      <c r="G697" s="21" t="s">
        <v>69</v>
      </c>
      <c r="H697" s="20" t="s">
        <v>78</v>
      </c>
      <c r="I697" s="20" t="s">
        <v>78</v>
      </c>
      <c r="J697" s="22" t="s">
        <v>78</v>
      </c>
      <c r="K697" s="47" t="s">
        <v>78</v>
      </c>
      <c r="L697" s="22" t="s">
        <v>78</v>
      </c>
      <c r="M697" s="23" t="s">
        <v>78</v>
      </c>
      <c r="N697" s="24" t="s">
        <v>78</v>
      </c>
      <c r="O697" s="25" t="s">
        <v>78</v>
      </c>
      <c r="P697" s="23">
        <f>IF(G697="غياب",VLOOKUP(C697,Employees!$A$3:$J$36,9,FALSE()),0)</f>
        <v>0</v>
      </c>
    </row>
    <row r="698" spans="1:16" ht="15" customHeight="1">
      <c r="A698" s="26" t="s">
        <v>76</v>
      </c>
      <c r="B698" s="28" t="s">
        <v>77</v>
      </c>
      <c r="C698" s="28" t="s">
        <v>44</v>
      </c>
      <c r="D698" s="28" t="str">
        <f>VLOOKUP(C698,Employees!A:J,2,0)</f>
        <v>منى ناصر</v>
      </c>
      <c r="E698" s="29" t="s">
        <v>78</v>
      </c>
      <c r="F698" s="29" t="s">
        <v>78</v>
      </c>
      <c r="G698" s="27" t="s">
        <v>79</v>
      </c>
      <c r="H698" s="29" t="s">
        <v>78</v>
      </c>
      <c r="I698" s="29" t="s">
        <v>78</v>
      </c>
      <c r="J698" s="22" t="s">
        <v>78</v>
      </c>
      <c r="K698" s="47" t="s">
        <v>78</v>
      </c>
      <c r="L698" s="22" t="s">
        <v>78</v>
      </c>
      <c r="M698" s="23" t="s">
        <v>78</v>
      </c>
      <c r="N698" s="24" t="s">
        <v>78</v>
      </c>
      <c r="O698" s="24" t="s">
        <v>78</v>
      </c>
      <c r="P698" s="23">
        <f>IF(G698="غياب",VLOOKUP(C698,Employees!$A$3:$J$36,9,FALSE()),0)</f>
        <v>0</v>
      </c>
    </row>
    <row r="699" spans="1:16" ht="15" customHeight="1">
      <c r="A699" s="17" t="s">
        <v>80</v>
      </c>
      <c r="B699" s="19" t="s">
        <v>81</v>
      </c>
      <c r="C699" s="19" t="s">
        <v>44</v>
      </c>
      <c r="D699" s="19" t="str">
        <f>VLOOKUP(C699,Employees!A:J,2,0)</f>
        <v>منى ناصر</v>
      </c>
      <c r="E699" s="30" t="s">
        <v>78</v>
      </c>
      <c r="F699" s="20" t="s">
        <v>78</v>
      </c>
      <c r="G699" s="21" t="s">
        <v>69</v>
      </c>
      <c r="H699" s="20" t="s">
        <v>78</v>
      </c>
      <c r="I699" s="20" t="s">
        <v>78</v>
      </c>
      <c r="J699" s="22" t="s">
        <v>78</v>
      </c>
      <c r="K699" s="47" t="s">
        <v>78</v>
      </c>
      <c r="L699" s="22" t="s">
        <v>78</v>
      </c>
      <c r="M699" s="23" t="s">
        <v>78</v>
      </c>
      <c r="N699" s="24" t="s">
        <v>78</v>
      </c>
      <c r="O699" s="25" t="s">
        <v>78</v>
      </c>
      <c r="P699" s="23">
        <f>IF(G699="غياب",VLOOKUP(C699,Employees!$A$3:$J$36,9,FALSE()),0)</f>
        <v>0</v>
      </c>
    </row>
    <row r="700" spans="1:16" ht="15" customHeight="1">
      <c r="A700" s="17" t="s">
        <v>82</v>
      </c>
      <c r="B700" s="19" t="s">
        <v>83</v>
      </c>
      <c r="C700" s="19" t="s">
        <v>44</v>
      </c>
      <c r="D700" s="19" t="str">
        <f>VLOOKUP(C700,Employees!A:J,2,0)</f>
        <v>منى ناصر</v>
      </c>
      <c r="E700" s="20" t="s">
        <v>78</v>
      </c>
      <c r="F700" s="20" t="s">
        <v>78</v>
      </c>
      <c r="G700" s="21" t="s">
        <v>69</v>
      </c>
      <c r="H700" s="20" t="s">
        <v>78</v>
      </c>
      <c r="I700" s="20" t="s">
        <v>78</v>
      </c>
      <c r="J700" s="22" t="s">
        <v>78</v>
      </c>
      <c r="K700" s="47" t="s">
        <v>78</v>
      </c>
      <c r="L700" s="22" t="s">
        <v>78</v>
      </c>
      <c r="M700" s="23" t="s">
        <v>78</v>
      </c>
      <c r="N700" s="24" t="s">
        <v>78</v>
      </c>
      <c r="O700" s="25" t="s">
        <v>78</v>
      </c>
      <c r="P700" s="23">
        <f>IF(G700="غياب",VLOOKUP(C700,Employees!$A$3:$J$36,9,FALSE()),0)</f>
        <v>0</v>
      </c>
    </row>
    <row r="701" spans="1:16" ht="15" customHeight="1">
      <c r="A701" s="17" t="s">
        <v>84</v>
      </c>
      <c r="B701" s="19" t="s">
        <v>68</v>
      </c>
      <c r="C701" s="19" t="s">
        <v>44</v>
      </c>
      <c r="D701" s="19" t="str">
        <f>VLOOKUP(C701,Employees!A:J,2,0)</f>
        <v>منى ناصر</v>
      </c>
      <c r="E701" s="20" t="s">
        <v>78</v>
      </c>
      <c r="F701" s="20" t="s">
        <v>78</v>
      </c>
      <c r="G701" s="21" t="s">
        <v>69</v>
      </c>
      <c r="H701" s="20" t="s">
        <v>78</v>
      </c>
      <c r="I701" s="20" t="s">
        <v>78</v>
      </c>
      <c r="J701" s="22" t="s">
        <v>78</v>
      </c>
      <c r="K701" s="47" t="s">
        <v>78</v>
      </c>
      <c r="L701" s="22" t="s">
        <v>78</v>
      </c>
      <c r="M701" s="23" t="s">
        <v>78</v>
      </c>
      <c r="N701" s="24" t="s">
        <v>78</v>
      </c>
      <c r="O701" s="25" t="s">
        <v>78</v>
      </c>
      <c r="P701" s="23">
        <f>IF(G701="غياب",VLOOKUP(C701,Employees!$A$3:$J$36,9,FALSE()),0)</f>
        <v>0</v>
      </c>
    </row>
    <row r="702" spans="1:16" ht="15" customHeight="1">
      <c r="A702" s="17" t="s">
        <v>85</v>
      </c>
      <c r="B702" s="19" t="s">
        <v>71</v>
      </c>
      <c r="C702" s="19" t="s">
        <v>44</v>
      </c>
      <c r="D702" s="19" t="str">
        <f>VLOOKUP(C702,Employees!A:J,2,0)</f>
        <v>منى ناصر</v>
      </c>
      <c r="E702" s="20" t="s">
        <v>78</v>
      </c>
      <c r="F702" s="20" t="s">
        <v>78</v>
      </c>
      <c r="G702" s="21" t="s">
        <v>69</v>
      </c>
      <c r="H702" s="20" t="s">
        <v>78</v>
      </c>
      <c r="I702" s="20" t="s">
        <v>78</v>
      </c>
      <c r="J702" s="22" t="s">
        <v>78</v>
      </c>
      <c r="K702" s="47" t="s">
        <v>78</v>
      </c>
      <c r="L702" s="22" t="s">
        <v>78</v>
      </c>
      <c r="M702" s="23" t="s">
        <v>78</v>
      </c>
      <c r="N702" s="24" t="s">
        <v>78</v>
      </c>
      <c r="O702" s="25" t="s">
        <v>78</v>
      </c>
      <c r="P702" s="23">
        <f>IF(G702="غياب",VLOOKUP(C702,Employees!$A$3:$J$36,9,FALSE()),0)</f>
        <v>0</v>
      </c>
    </row>
    <row r="703" spans="1:16" ht="15" customHeight="1">
      <c r="A703" s="17" t="s">
        <v>86</v>
      </c>
      <c r="B703" s="19" t="s">
        <v>73</v>
      </c>
      <c r="C703" s="19" t="s">
        <v>44</v>
      </c>
      <c r="D703" s="19" t="str">
        <f>VLOOKUP(C703,Employees!A:J,2,0)</f>
        <v>منى ناصر</v>
      </c>
      <c r="E703" s="20" t="s">
        <v>78</v>
      </c>
      <c r="F703" s="20" t="s">
        <v>78</v>
      </c>
      <c r="G703" s="21" t="s">
        <v>69</v>
      </c>
      <c r="H703" s="20" t="s">
        <v>78</v>
      </c>
      <c r="I703" s="20" t="s">
        <v>78</v>
      </c>
      <c r="J703" s="22" t="s">
        <v>78</v>
      </c>
      <c r="K703" s="47" t="s">
        <v>78</v>
      </c>
      <c r="L703" s="22" t="s">
        <v>78</v>
      </c>
      <c r="M703" s="23" t="s">
        <v>78</v>
      </c>
      <c r="N703" s="24" t="s">
        <v>78</v>
      </c>
      <c r="O703" s="25" t="s">
        <v>78</v>
      </c>
      <c r="P703" s="23">
        <f>IF(G703="غياب",VLOOKUP(C703,Employees!$A$3:$J$36,9,FALSE()),0)</f>
        <v>0</v>
      </c>
    </row>
    <row r="704" spans="1:16" ht="15" customHeight="1">
      <c r="A704" s="17" t="s">
        <v>87</v>
      </c>
      <c r="B704" s="19" t="s">
        <v>75</v>
      </c>
      <c r="C704" s="19" t="s">
        <v>44</v>
      </c>
      <c r="D704" s="19" t="str">
        <f>VLOOKUP(C704,Employees!A:J,2,0)</f>
        <v>منى ناصر</v>
      </c>
      <c r="E704" s="20" t="s">
        <v>78</v>
      </c>
      <c r="F704" s="20" t="s">
        <v>78</v>
      </c>
      <c r="G704" s="21" t="s">
        <v>69</v>
      </c>
      <c r="H704" s="20" t="s">
        <v>78</v>
      </c>
      <c r="I704" s="30" t="s">
        <v>78</v>
      </c>
      <c r="J704" s="22" t="s">
        <v>78</v>
      </c>
      <c r="K704" s="47" t="s">
        <v>78</v>
      </c>
      <c r="L704" s="22" t="s">
        <v>78</v>
      </c>
      <c r="M704" s="23" t="s">
        <v>78</v>
      </c>
      <c r="N704" s="24" t="s">
        <v>78</v>
      </c>
      <c r="O704" s="25" t="s">
        <v>78</v>
      </c>
      <c r="P704" s="23">
        <f>IF(G704="غياب",VLOOKUP(C704,Employees!$A$3:$J$36,9,FALSE()),0)</f>
        <v>0</v>
      </c>
    </row>
    <row r="705" spans="1:16" ht="15" customHeight="1">
      <c r="A705" s="26" t="s">
        <v>88</v>
      </c>
      <c r="B705" s="28" t="s">
        <v>77</v>
      </c>
      <c r="C705" s="28" t="s">
        <v>44</v>
      </c>
      <c r="D705" s="28" t="str">
        <f>VLOOKUP(C705,Employees!A:J,2,0)</f>
        <v>منى ناصر</v>
      </c>
      <c r="E705" s="29" t="s">
        <v>78</v>
      </c>
      <c r="F705" s="29" t="s">
        <v>78</v>
      </c>
      <c r="G705" s="27" t="s">
        <v>79</v>
      </c>
      <c r="H705" s="29" t="s">
        <v>78</v>
      </c>
      <c r="I705" s="29" t="s">
        <v>78</v>
      </c>
      <c r="J705" s="22" t="s">
        <v>78</v>
      </c>
      <c r="K705" s="47" t="s">
        <v>78</v>
      </c>
      <c r="L705" s="22" t="s">
        <v>78</v>
      </c>
      <c r="M705" s="23" t="s">
        <v>78</v>
      </c>
      <c r="N705" s="24" t="s">
        <v>78</v>
      </c>
      <c r="O705" s="24" t="s">
        <v>78</v>
      </c>
      <c r="P705" s="23">
        <f>IF(G705="غياب",VLOOKUP(C705,Employees!$A$3:$J$36,9,FALSE()),0)</f>
        <v>0</v>
      </c>
    </row>
    <row r="706" spans="1:16" ht="15" customHeight="1">
      <c r="A706" s="26" t="s">
        <v>89</v>
      </c>
      <c r="B706" s="28" t="s">
        <v>81</v>
      </c>
      <c r="C706" s="28" t="s">
        <v>44</v>
      </c>
      <c r="D706" s="28" t="str">
        <f>VLOOKUP(C706,Employees!A:J,2,0)</f>
        <v>منى ناصر</v>
      </c>
      <c r="E706" s="29" t="s">
        <v>78</v>
      </c>
      <c r="F706" s="29" t="s">
        <v>78</v>
      </c>
      <c r="G706" s="27" t="s">
        <v>79</v>
      </c>
      <c r="H706" s="29" t="s">
        <v>78</v>
      </c>
      <c r="I706" s="29" t="s">
        <v>78</v>
      </c>
      <c r="J706" s="22" t="s">
        <v>78</v>
      </c>
      <c r="K706" s="47" t="s">
        <v>78</v>
      </c>
      <c r="L706" s="22" t="s">
        <v>78</v>
      </c>
      <c r="M706" s="23" t="s">
        <v>78</v>
      </c>
      <c r="N706" s="24" t="s">
        <v>78</v>
      </c>
      <c r="O706" s="24" t="s">
        <v>78</v>
      </c>
      <c r="P706" s="23">
        <f>IF(G706="غياب",VLOOKUP(C706,Employees!$A$3:$J$36,9,FALSE()),0)</f>
        <v>0</v>
      </c>
    </row>
    <row r="707" spans="1:16" ht="15" customHeight="1">
      <c r="A707" s="17" t="s">
        <v>90</v>
      </c>
      <c r="B707" s="19" t="s">
        <v>83</v>
      </c>
      <c r="C707" s="19" t="s">
        <v>44</v>
      </c>
      <c r="D707" s="19" t="str">
        <f>VLOOKUP(C707,Employees!A:J,2,0)</f>
        <v>منى ناصر</v>
      </c>
      <c r="E707" s="20" t="s">
        <v>78</v>
      </c>
      <c r="F707" s="20" t="s">
        <v>78</v>
      </c>
      <c r="G707" s="21" t="s">
        <v>69</v>
      </c>
      <c r="H707" s="20" t="s">
        <v>78</v>
      </c>
      <c r="I707" s="30" t="s">
        <v>78</v>
      </c>
      <c r="J707" s="22" t="s">
        <v>78</v>
      </c>
      <c r="K707" s="47" t="s">
        <v>78</v>
      </c>
      <c r="L707" s="22" t="s">
        <v>78</v>
      </c>
      <c r="M707" s="23" t="s">
        <v>78</v>
      </c>
      <c r="N707" s="24" t="s">
        <v>78</v>
      </c>
      <c r="O707" s="25" t="s">
        <v>78</v>
      </c>
      <c r="P707" s="23">
        <f>IF(G707="غياب",VLOOKUP(C707,Employees!$A$3:$J$36,9,FALSE()),0)</f>
        <v>0</v>
      </c>
    </row>
    <row r="708" spans="1:16" ht="15" customHeight="1">
      <c r="A708" s="17" t="s">
        <v>91</v>
      </c>
      <c r="B708" s="19" t="s">
        <v>68</v>
      </c>
      <c r="C708" s="19" t="s">
        <v>44</v>
      </c>
      <c r="D708" s="19" t="str">
        <f>VLOOKUP(C708,Employees!A:J,2,0)</f>
        <v>منى ناصر</v>
      </c>
      <c r="E708" s="20" t="s">
        <v>78</v>
      </c>
      <c r="F708" s="20" t="s">
        <v>78</v>
      </c>
      <c r="G708" s="21" t="s">
        <v>69</v>
      </c>
      <c r="H708" s="20" t="s">
        <v>78</v>
      </c>
      <c r="I708" s="30" t="s">
        <v>78</v>
      </c>
      <c r="J708" s="22" t="s">
        <v>78</v>
      </c>
      <c r="K708" s="47" t="s">
        <v>78</v>
      </c>
      <c r="L708" s="22" t="s">
        <v>78</v>
      </c>
      <c r="M708" s="23" t="s">
        <v>78</v>
      </c>
      <c r="N708" s="24" t="s">
        <v>78</v>
      </c>
      <c r="O708" s="25" t="s">
        <v>78</v>
      </c>
      <c r="P708" s="23">
        <f>IF(G708="غياب",VLOOKUP(C708,Employees!$A$3:$J$36,9,FALSE()),0)</f>
        <v>0</v>
      </c>
    </row>
    <row r="709" spans="1:16" ht="15" customHeight="1">
      <c r="A709" s="17" t="s">
        <v>92</v>
      </c>
      <c r="B709" s="19" t="s">
        <v>71</v>
      </c>
      <c r="C709" s="19" t="s">
        <v>44</v>
      </c>
      <c r="D709" s="19" t="str">
        <f>VLOOKUP(C709,Employees!A:J,2,0)</f>
        <v>منى ناصر</v>
      </c>
      <c r="E709" s="20" t="s">
        <v>78</v>
      </c>
      <c r="F709" s="20" t="s">
        <v>78</v>
      </c>
      <c r="G709" s="21" t="s">
        <v>69</v>
      </c>
      <c r="H709" s="20" t="s">
        <v>78</v>
      </c>
      <c r="I709" s="30" t="s">
        <v>78</v>
      </c>
      <c r="J709" s="22" t="s">
        <v>78</v>
      </c>
      <c r="K709" s="47" t="s">
        <v>78</v>
      </c>
      <c r="L709" s="22" t="s">
        <v>78</v>
      </c>
      <c r="M709" s="23" t="s">
        <v>78</v>
      </c>
      <c r="N709" s="24" t="s">
        <v>78</v>
      </c>
      <c r="O709" s="25" t="s">
        <v>78</v>
      </c>
      <c r="P709" s="23">
        <f>IF(G709="غياب",VLOOKUP(C709,Employees!$A$3:$J$36,9,FALSE()),0)</f>
        <v>0</v>
      </c>
    </row>
    <row r="710" spans="1:16" ht="15" customHeight="1">
      <c r="A710" s="17" t="s">
        <v>93</v>
      </c>
      <c r="B710" s="19" t="s">
        <v>73</v>
      </c>
      <c r="C710" s="19" t="s">
        <v>44</v>
      </c>
      <c r="D710" s="19" t="str">
        <f>VLOOKUP(C710,Employees!A:J,2,0)</f>
        <v>منى ناصر</v>
      </c>
      <c r="E710" s="20" t="s">
        <v>78</v>
      </c>
      <c r="F710" s="20" t="s">
        <v>78</v>
      </c>
      <c r="G710" s="21" t="s">
        <v>69</v>
      </c>
      <c r="H710" s="20" t="s">
        <v>78</v>
      </c>
      <c r="I710" s="30" t="s">
        <v>78</v>
      </c>
      <c r="J710" s="22" t="s">
        <v>78</v>
      </c>
      <c r="K710" s="47" t="s">
        <v>78</v>
      </c>
      <c r="L710" s="22" t="s">
        <v>78</v>
      </c>
      <c r="M710" s="23" t="s">
        <v>78</v>
      </c>
      <c r="N710" s="24" t="s">
        <v>78</v>
      </c>
      <c r="O710" s="25" t="s">
        <v>78</v>
      </c>
      <c r="P710" s="23">
        <f>IF(G710="غياب",VLOOKUP(C710,Employees!$A$3:$J$36,9,FALSE()),0)</f>
        <v>0</v>
      </c>
    </row>
    <row r="711" spans="1:16" ht="15" customHeight="1">
      <c r="A711" s="17" t="s">
        <v>94</v>
      </c>
      <c r="B711" s="19" t="s">
        <v>75</v>
      </c>
      <c r="C711" s="19" t="s">
        <v>44</v>
      </c>
      <c r="D711" s="19" t="str">
        <f>VLOOKUP(C711,Employees!A:J,2,0)</f>
        <v>منى ناصر</v>
      </c>
      <c r="E711" s="20" t="s">
        <v>78</v>
      </c>
      <c r="F711" s="20" t="s">
        <v>78</v>
      </c>
      <c r="G711" s="21" t="s">
        <v>69</v>
      </c>
      <c r="H711" s="20" t="s">
        <v>78</v>
      </c>
      <c r="I711" s="30" t="s">
        <v>78</v>
      </c>
      <c r="J711" s="22" t="s">
        <v>78</v>
      </c>
      <c r="K711" s="47" t="s">
        <v>78</v>
      </c>
      <c r="L711" s="22" t="s">
        <v>78</v>
      </c>
      <c r="M711" s="23" t="s">
        <v>78</v>
      </c>
      <c r="N711" s="24" t="s">
        <v>78</v>
      </c>
      <c r="O711" s="25" t="s">
        <v>78</v>
      </c>
      <c r="P711" s="23">
        <f>IF(G711="غياب",VLOOKUP(C711,Employees!$A$3:$J$36,9,FALSE()),0)</f>
        <v>0</v>
      </c>
    </row>
    <row r="712" spans="1:16" ht="15" customHeight="1">
      <c r="A712" s="26" t="s">
        <v>95</v>
      </c>
      <c r="B712" s="28" t="s">
        <v>77</v>
      </c>
      <c r="C712" s="28" t="s">
        <v>44</v>
      </c>
      <c r="D712" s="28" t="str">
        <f>VLOOKUP(C712,Employees!A:J,2,0)</f>
        <v>منى ناصر</v>
      </c>
      <c r="E712" s="29" t="s">
        <v>78</v>
      </c>
      <c r="F712" s="29" t="s">
        <v>78</v>
      </c>
      <c r="G712" s="27" t="s">
        <v>79</v>
      </c>
      <c r="H712" s="29" t="s">
        <v>78</v>
      </c>
      <c r="I712" s="29" t="s">
        <v>78</v>
      </c>
      <c r="J712" s="22" t="s">
        <v>78</v>
      </c>
      <c r="K712" s="47" t="s">
        <v>78</v>
      </c>
      <c r="L712" s="22" t="s">
        <v>78</v>
      </c>
      <c r="M712" s="23" t="s">
        <v>78</v>
      </c>
      <c r="N712" s="24" t="s">
        <v>78</v>
      </c>
      <c r="O712" s="24" t="s">
        <v>78</v>
      </c>
      <c r="P712" s="23">
        <f>IF(G712="غياب",VLOOKUP(C712,Employees!$A$3:$J$36,9,FALSE()),0)</f>
        <v>0</v>
      </c>
    </row>
    <row r="713" spans="1:16" ht="15" customHeight="1">
      <c r="A713" s="17" t="s">
        <v>96</v>
      </c>
      <c r="B713" s="19" t="s">
        <v>81</v>
      </c>
      <c r="C713" s="19" t="s">
        <v>44</v>
      </c>
      <c r="D713" s="19" t="str">
        <f>VLOOKUP(C713,Employees!A:J,2,0)</f>
        <v>منى ناصر</v>
      </c>
      <c r="E713" s="20" t="s">
        <v>78</v>
      </c>
      <c r="F713" s="30" t="s">
        <v>78</v>
      </c>
      <c r="G713" s="21" t="s">
        <v>69</v>
      </c>
      <c r="H713" s="20" t="s">
        <v>78</v>
      </c>
      <c r="I713" s="30" t="s">
        <v>78</v>
      </c>
      <c r="J713" s="22" t="s">
        <v>78</v>
      </c>
      <c r="K713" s="47" t="s">
        <v>78</v>
      </c>
      <c r="L713" s="22" t="s">
        <v>78</v>
      </c>
      <c r="M713" s="23" t="s">
        <v>78</v>
      </c>
      <c r="N713" s="24" t="s">
        <v>78</v>
      </c>
      <c r="O713" s="25" t="s">
        <v>78</v>
      </c>
      <c r="P713" s="23">
        <f>IF(G713="غياب",VLOOKUP(C713,Employees!$A$3:$J$36,9,FALSE()),0)</f>
        <v>0</v>
      </c>
    </row>
    <row r="714" spans="1:16" ht="15" customHeight="1">
      <c r="A714" s="17" t="s">
        <v>97</v>
      </c>
      <c r="B714" s="19" t="s">
        <v>83</v>
      </c>
      <c r="C714" s="19" t="s">
        <v>44</v>
      </c>
      <c r="D714" s="19" t="str">
        <f>VLOOKUP(C714,Employees!A:J,2,0)</f>
        <v>منى ناصر</v>
      </c>
      <c r="E714" s="20" t="s">
        <v>78</v>
      </c>
      <c r="F714" s="20" t="s">
        <v>78</v>
      </c>
      <c r="G714" s="21" t="s">
        <v>69</v>
      </c>
      <c r="H714" s="20" t="s">
        <v>78</v>
      </c>
      <c r="I714" s="30" t="s">
        <v>78</v>
      </c>
      <c r="J714" s="22" t="s">
        <v>78</v>
      </c>
      <c r="K714" s="47" t="s">
        <v>78</v>
      </c>
      <c r="L714" s="22" t="s">
        <v>78</v>
      </c>
      <c r="M714" s="23" t="s">
        <v>78</v>
      </c>
      <c r="N714" s="24" t="s">
        <v>78</v>
      </c>
      <c r="O714" s="25" t="s">
        <v>78</v>
      </c>
      <c r="P714" s="23">
        <f>IF(G714="غياب",VLOOKUP(C714,Employees!$A$3:$J$36,9,FALSE()),0)</f>
        <v>0</v>
      </c>
    </row>
    <row r="715" spans="1:16" ht="15" customHeight="1">
      <c r="A715" s="17" t="s">
        <v>98</v>
      </c>
      <c r="B715" s="19" t="s">
        <v>68</v>
      </c>
      <c r="C715" s="19" t="s">
        <v>44</v>
      </c>
      <c r="D715" s="19" t="str">
        <f>VLOOKUP(C715,Employees!A:J,2,0)</f>
        <v>منى ناصر</v>
      </c>
      <c r="E715" s="20" t="s">
        <v>78</v>
      </c>
      <c r="F715" s="20" t="s">
        <v>78</v>
      </c>
      <c r="G715" s="21" t="s">
        <v>69</v>
      </c>
      <c r="H715" s="20" t="s">
        <v>78</v>
      </c>
      <c r="I715" s="30" t="s">
        <v>78</v>
      </c>
      <c r="J715" s="22" t="s">
        <v>78</v>
      </c>
      <c r="K715" s="47" t="s">
        <v>78</v>
      </c>
      <c r="L715" s="22" t="s">
        <v>78</v>
      </c>
      <c r="M715" s="23" t="s">
        <v>78</v>
      </c>
      <c r="N715" s="24" t="s">
        <v>78</v>
      </c>
      <c r="O715" s="25" t="s">
        <v>78</v>
      </c>
      <c r="P715" s="23">
        <f>IF(G715="غياب",VLOOKUP(C715,Employees!$A$3:$J$36,9,FALSE()),0)</f>
        <v>0</v>
      </c>
    </row>
    <row r="716" spans="1:16" ht="15" customHeight="1">
      <c r="A716" s="17" t="s">
        <v>99</v>
      </c>
      <c r="B716" s="19" t="s">
        <v>71</v>
      </c>
      <c r="C716" s="19" t="s">
        <v>44</v>
      </c>
      <c r="D716" s="19" t="str">
        <f>VLOOKUP(C716,Employees!A:J,2,0)</f>
        <v>منى ناصر</v>
      </c>
      <c r="E716" s="20" t="s">
        <v>78</v>
      </c>
      <c r="F716" s="20" t="s">
        <v>78</v>
      </c>
      <c r="G716" s="21" t="s">
        <v>69</v>
      </c>
      <c r="H716" s="20" t="s">
        <v>78</v>
      </c>
      <c r="I716" s="30" t="s">
        <v>78</v>
      </c>
      <c r="J716" s="22" t="s">
        <v>78</v>
      </c>
      <c r="K716" s="47" t="s">
        <v>78</v>
      </c>
      <c r="L716" s="22" t="s">
        <v>78</v>
      </c>
      <c r="M716" s="23" t="s">
        <v>78</v>
      </c>
      <c r="N716" s="24" t="s">
        <v>78</v>
      </c>
      <c r="O716" s="25" t="s">
        <v>78</v>
      </c>
      <c r="P716" s="23">
        <f>IF(G716="غياب",VLOOKUP(C716,Employees!$A$3:$J$36,9,FALSE()),0)</f>
        <v>0</v>
      </c>
    </row>
    <row r="717" spans="1:16" ht="15" customHeight="1">
      <c r="A717" s="17" t="s">
        <v>100</v>
      </c>
      <c r="B717" s="19" t="s">
        <v>73</v>
      </c>
      <c r="C717" s="19" t="s">
        <v>44</v>
      </c>
      <c r="D717" s="19" t="str">
        <f>VLOOKUP(C717,Employees!A:J,2,0)</f>
        <v>منى ناصر</v>
      </c>
      <c r="E717" s="20" t="s">
        <v>78</v>
      </c>
      <c r="F717" s="20" t="s">
        <v>78</v>
      </c>
      <c r="G717" s="21" t="s">
        <v>69</v>
      </c>
      <c r="H717" s="20" t="s">
        <v>78</v>
      </c>
      <c r="I717" s="20" t="s">
        <v>78</v>
      </c>
      <c r="J717" s="22" t="s">
        <v>78</v>
      </c>
      <c r="K717" s="47" t="s">
        <v>78</v>
      </c>
      <c r="L717" s="22" t="s">
        <v>78</v>
      </c>
      <c r="M717" s="23" t="s">
        <v>78</v>
      </c>
      <c r="N717" s="24" t="s">
        <v>78</v>
      </c>
      <c r="O717" s="25" t="s">
        <v>78</v>
      </c>
      <c r="P717" s="23">
        <f>IF(G717="غياب",VLOOKUP(C717,Employees!$A$3:$J$36,9,FALSE()),0)</f>
        <v>0</v>
      </c>
    </row>
    <row r="718" spans="1:16" ht="15" customHeight="1">
      <c r="A718" s="17" t="s">
        <v>101</v>
      </c>
      <c r="B718" s="19" t="s">
        <v>75</v>
      </c>
      <c r="C718" s="19" t="s">
        <v>44</v>
      </c>
      <c r="D718" s="19" t="str">
        <f>VLOOKUP(C718,Employees!A:J,2,0)</f>
        <v>منى ناصر</v>
      </c>
      <c r="E718" s="20" t="s">
        <v>78</v>
      </c>
      <c r="F718" s="20" t="s">
        <v>78</v>
      </c>
      <c r="G718" s="21" t="s">
        <v>69</v>
      </c>
      <c r="H718" s="20" t="s">
        <v>78</v>
      </c>
      <c r="I718" s="20" t="s">
        <v>78</v>
      </c>
      <c r="J718" s="22" t="s">
        <v>78</v>
      </c>
      <c r="K718" s="47" t="s">
        <v>78</v>
      </c>
      <c r="L718" s="22" t="s">
        <v>78</v>
      </c>
      <c r="M718" s="23" t="s">
        <v>78</v>
      </c>
      <c r="N718" s="24" t="s">
        <v>78</v>
      </c>
      <c r="O718" s="25" t="s">
        <v>78</v>
      </c>
      <c r="P718" s="23">
        <f>IF(G718="غياب",VLOOKUP(C718,Employees!$A$3:$J$36,9,FALSE()),0)</f>
        <v>0</v>
      </c>
    </row>
    <row r="719" spans="1:16" ht="15" customHeight="1">
      <c r="A719" s="26" t="s">
        <v>102</v>
      </c>
      <c r="B719" s="28" t="s">
        <v>77</v>
      </c>
      <c r="C719" s="28" t="s">
        <v>44</v>
      </c>
      <c r="D719" s="28" t="str">
        <f>VLOOKUP(C719,Employees!A:J,2,0)</f>
        <v>منى ناصر</v>
      </c>
      <c r="E719" s="29" t="s">
        <v>78</v>
      </c>
      <c r="F719" s="29" t="s">
        <v>78</v>
      </c>
      <c r="G719" s="27" t="s">
        <v>79</v>
      </c>
      <c r="H719" s="29" t="s">
        <v>78</v>
      </c>
      <c r="I719" s="29" t="s">
        <v>78</v>
      </c>
      <c r="J719" s="22" t="s">
        <v>78</v>
      </c>
      <c r="K719" s="47" t="s">
        <v>78</v>
      </c>
      <c r="L719" s="22" t="s">
        <v>78</v>
      </c>
      <c r="M719" s="23" t="s">
        <v>78</v>
      </c>
      <c r="N719" s="24" t="s">
        <v>78</v>
      </c>
      <c r="O719" s="24" t="s">
        <v>78</v>
      </c>
      <c r="P719" s="23">
        <f>IF(G719="غياب",VLOOKUP(C719,Employees!$A$3:$J$36,9,FALSE()),0)</f>
        <v>0</v>
      </c>
    </row>
    <row r="720" spans="1:16" ht="15" customHeight="1">
      <c r="A720" s="17" t="s">
        <v>103</v>
      </c>
      <c r="B720" s="19" t="s">
        <v>81</v>
      </c>
      <c r="C720" s="19" t="s">
        <v>44</v>
      </c>
      <c r="D720" s="19" t="str">
        <f>VLOOKUP(C720,Employees!A:J,2,0)</f>
        <v>منى ناصر</v>
      </c>
      <c r="E720" s="20" t="s">
        <v>78</v>
      </c>
      <c r="F720" s="30" t="s">
        <v>78</v>
      </c>
      <c r="G720" s="21" t="s">
        <v>69</v>
      </c>
      <c r="H720" s="20" t="s">
        <v>78</v>
      </c>
      <c r="I720" s="20" t="s">
        <v>78</v>
      </c>
      <c r="J720" s="22" t="s">
        <v>78</v>
      </c>
      <c r="K720" s="47" t="s">
        <v>78</v>
      </c>
      <c r="L720" s="22" t="s">
        <v>78</v>
      </c>
      <c r="M720" s="23" t="s">
        <v>78</v>
      </c>
      <c r="N720" s="24" t="s">
        <v>78</v>
      </c>
      <c r="O720" s="25" t="s">
        <v>78</v>
      </c>
      <c r="P720" s="23">
        <f>IF(G720="غياب",VLOOKUP(C720,Employees!$A$3:$J$36,9,FALSE()),0)</f>
        <v>0</v>
      </c>
    </row>
    <row r="721" spans="1:16" ht="15" customHeight="1">
      <c r="A721" s="17" t="s">
        <v>104</v>
      </c>
      <c r="B721" s="19" t="s">
        <v>83</v>
      </c>
      <c r="C721" s="19" t="s">
        <v>44</v>
      </c>
      <c r="D721" s="19" t="str">
        <f>VLOOKUP(C721,Employees!A:J,2,0)</f>
        <v>منى ناصر</v>
      </c>
      <c r="E721" s="20" t="s">
        <v>78</v>
      </c>
      <c r="F721" s="20" t="s">
        <v>78</v>
      </c>
      <c r="G721" s="21" t="s">
        <v>69</v>
      </c>
      <c r="H721" s="20" t="s">
        <v>78</v>
      </c>
      <c r="I721" s="20" t="s">
        <v>78</v>
      </c>
      <c r="J721" s="22" t="s">
        <v>78</v>
      </c>
      <c r="K721" s="47" t="s">
        <v>78</v>
      </c>
      <c r="L721" s="22" t="s">
        <v>78</v>
      </c>
      <c r="M721" s="23" t="s">
        <v>78</v>
      </c>
      <c r="N721" s="24" t="s">
        <v>78</v>
      </c>
      <c r="O721" s="25" t="s">
        <v>78</v>
      </c>
      <c r="P721" s="23">
        <f>IF(G721="غياب",VLOOKUP(C721,Employees!$A$3:$J$36,9,FALSE()),0)</f>
        <v>0</v>
      </c>
    </row>
    <row r="722" spans="1:16" ht="15" customHeight="1">
      <c r="A722" s="17" t="s">
        <v>105</v>
      </c>
      <c r="B722" s="19" t="s">
        <v>68</v>
      </c>
      <c r="C722" s="19" t="s">
        <v>44</v>
      </c>
      <c r="D722" s="19" t="str">
        <f>VLOOKUP(C722,Employees!A:J,2,0)</f>
        <v>منى ناصر</v>
      </c>
      <c r="E722" s="20" t="s">
        <v>78</v>
      </c>
      <c r="F722" s="20" t="s">
        <v>78</v>
      </c>
      <c r="G722" s="21" t="s">
        <v>69</v>
      </c>
      <c r="H722" s="20" t="s">
        <v>78</v>
      </c>
      <c r="I722" s="20" t="s">
        <v>78</v>
      </c>
      <c r="J722" s="22" t="s">
        <v>78</v>
      </c>
      <c r="K722" s="47" t="s">
        <v>78</v>
      </c>
      <c r="L722" s="22" t="s">
        <v>78</v>
      </c>
      <c r="M722" s="23" t="s">
        <v>78</v>
      </c>
      <c r="N722" s="24" t="s">
        <v>78</v>
      </c>
      <c r="O722" s="25" t="s">
        <v>78</v>
      </c>
      <c r="P722" s="23">
        <f>IF(G722="غياب",VLOOKUP(C722,Employees!$A$3:$J$36,9,FALSE()),0)</f>
        <v>0</v>
      </c>
    </row>
    <row r="723" spans="1:16" ht="15" customHeight="1">
      <c r="A723" s="17" t="s">
        <v>106</v>
      </c>
      <c r="B723" s="19" t="s">
        <v>71</v>
      </c>
      <c r="C723" s="19" t="s">
        <v>44</v>
      </c>
      <c r="D723" s="19" t="str">
        <f>VLOOKUP(C723,Employees!A:J,2,0)</f>
        <v>منى ناصر</v>
      </c>
      <c r="E723" s="20" t="s">
        <v>78</v>
      </c>
      <c r="F723" s="20" t="s">
        <v>78</v>
      </c>
      <c r="G723" s="21" t="s">
        <v>69</v>
      </c>
      <c r="H723" s="20" t="s">
        <v>78</v>
      </c>
      <c r="I723" s="20" t="s">
        <v>78</v>
      </c>
      <c r="J723" s="22" t="s">
        <v>78</v>
      </c>
      <c r="K723" s="47" t="s">
        <v>78</v>
      </c>
      <c r="L723" s="22" t="s">
        <v>78</v>
      </c>
      <c r="M723" s="23" t="s">
        <v>78</v>
      </c>
      <c r="N723" s="24" t="s">
        <v>78</v>
      </c>
      <c r="O723" s="25" t="s">
        <v>78</v>
      </c>
      <c r="P723" s="23">
        <f>IF(G723="غياب",VLOOKUP(C723,Employees!$A$3:$J$36,9,FALSE()),0)</f>
        <v>0</v>
      </c>
    </row>
    <row r="724" spans="1:16" ht="15" customHeight="1">
      <c r="A724" s="17" t="s">
        <v>67</v>
      </c>
      <c r="B724" s="19" t="s">
        <v>68</v>
      </c>
      <c r="C724" s="19" t="s">
        <v>45</v>
      </c>
      <c r="D724" s="19" t="str">
        <f>VLOOKUP(C724,Employees!A:J,2,0)</f>
        <v>مريم فتح الله</v>
      </c>
      <c r="E724" s="20" t="s">
        <v>78</v>
      </c>
      <c r="F724" s="20" t="s">
        <v>78</v>
      </c>
      <c r="G724" s="21" t="s">
        <v>69</v>
      </c>
      <c r="H724" s="20" t="s">
        <v>78</v>
      </c>
      <c r="I724" s="20" t="s">
        <v>78</v>
      </c>
      <c r="J724" s="22" t="s">
        <v>78</v>
      </c>
      <c r="K724" s="47" t="s">
        <v>78</v>
      </c>
      <c r="L724" s="22" t="s">
        <v>78</v>
      </c>
      <c r="M724" s="23" t="s">
        <v>78</v>
      </c>
      <c r="N724" s="24" t="s">
        <v>78</v>
      </c>
      <c r="O724" s="25" t="s">
        <v>78</v>
      </c>
      <c r="P724" s="23">
        <f>IF(G724="غياب",VLOOKUP(C724,Employees!$A$3:$J$36,9,FALSE()),0)</f>
        <v>0</v>
      </c>
    </row>
    <row r="725" spans="1:16" ht="15" customHeight="1">
      <c r="A725" s="17" t="s">
        <v>70</v>
      </c>
      <c r="B725" s="19" t="s">
        <v>71</v>
      </c>
      <c r="C725" s="19" t="s">
        <v>45</v>
      </c>
      <c r="D725" s="19" t="str">
        <f>VLOOKUP(C725,Employees!A:J,2,0)</f>
        <v>مريم فتح الله</v>
      </c>
      <c r="E725" s="20" t="s">
        <v>78</v>
      </c>
      <c r="F725" s="20" t="s">
        <v>78</v>
      </c>
      <c r="G725" s="21" t="s">
        <v>69</v>
      </c>
      <c r="H725" s="20" t="s">
        <v>78</v>
      </c>
      <c r="I725" s="20" t="s">
        <v>78</v>
      </c>
      <c r="J725" s="22" t="s">
        <v>78</v>
      </c>
      <c r="K725" s="47" t="s">
        <v>78</v>
      </c>
      <c r="L725" s="22" t="s">
        <v>78</v>
      </c>
      <c r="M725" s="23" t="s">
        <v>78</v>
      </c>
      <c r="N725" s="24" t="s">
        <v>78</v>
      </c>
      <c r="O725" s="25" t="s">
        <v>78</v>
      </c>
      <c r="P725" s="23">
        <f>IF(G725="غياب",VLOOKUP(C725,Employees!$A$3:$J$36,9,FALSE()),0)</f>
        <v>0</v>
      </c>
    </row>
    <row r="726" spans="1:16" ht="15" customHeight="1">
      <c r="A726" s="17" t="s">
        <v>72</v>
      </c>
      <c r="B726" s="19" t="s">
        <v>73</v>
      </c>
      <c r="C726" s="19" t="s">
        <v>45</v>
      </c>
      <c r="D726" s="19" t="str">
        <f>VLOOKUP(C726,Employees!A:J,2,0)</f>
        <v>مريم فتح الله</v>
      </c>
      <c r="E726" s="20" t="s">
        <v>78</v>
      </c>
      <c r="F726" s="20" t="s">
        <v>78</v>
      </c>
      <c r="G726" s="21" t="s">
        <v>69</v>
      </c>
      <c r="H726" s="20" t="s">
        <v>78</v>
      </c>
      <c r="I726" s="20" t="s">
        <v>78</v>
      </c>
      <c r="J726" s="22" t="s">
        <v>78</v>
      </c>
      <c r="K726" s="47" t="s">
        <v>78</v>
      </c>
      <c r="L726" s="22" t="s">
        <v>78</v>
      </c>
      <c r="M726" s="23" t="s">
        <v>78</v>
      </c>
      <c r="N726" s="24" t="s">
        <v>78</v>
      </c>
      <c r="O726" s="25" t="s">
        <v>78</v>
      </c>
      <c r="P726" s="23">
        <f>IF(G726="غياب",VLOOKUP(C726,Employees!$A$3:$J$36,9,FALSE()),0)</f>
        <v>0</v>
      </c>
    </row>
    <row r="727" spans="1:16" ht="15" customHeight="1">
      <c r="A727" s="17" t="s">
        <v>74</v>
      </c>
      <c r="B727" s="19" t="s">
        <v>75</v>
      </c>
      <c r="C727" s="19" t="s">
        <v>45</v>
      </c>
      <c r="D727" s="19" t="str">
        <f>VLOOKUP(C727,Employees!A:J,2,0)</f>
        <v>مريم فتح الله</v>
      </c>
      <c r="E727" s="20" t="s">
        <v>78</v>
      </c>
      <c r="F727" s="20" t="s">
        <v>78</v>
      </c>
      <c r="G727" s="21" t="s">
        <v>69</v>
      </c>
      <c r="H727" s="20" t="s">
        <v>78</v>
      </c>
      <c r="I727" s="20" t="s">
        <v>78</v>
      </c>
      <c r="J727" s="22" t="s">
        <v>78</v>
      </c>
      <c r="K727" s="47" t="s">
        <v>78</v>
      </c>
      <c r="L727" s="22" t="s">
        <v>78</v>
      </c>
      <c r="M727" s="23" t="s">
        <v>78</v>
      </c>
      <c r="N727" s="24" t="s">
        <v>78</v>
      </c>
      <c r="O727" s="25" t="s">
        <v>78</v>
      </c>
      <c r="P727" s="23">
        <f>IF(G727="غياب",VLOOKUP(C727,Employees!$A$3:$J$36,9,FALSE()),0)</f>
        <v>0</v>
      </c>
    </row>
    <row r="728" spans="1:16" ht="15" customHeight="1">
      <c r="A728" s="26" t="s">
        <v>76</v>
      </c>
      <c r="B728" s="28" t="s">
        <v>77</v>
      </c>
      <c r="C728" s="28" t="s">
        <v>45</v>
      </c>
      <c r="D728" s="28" t="str">
        <f>VLOOKUP(C728,Employees!A:J,2,0)</f>
        <v>مريم فتح الله</v>
      </c>
      <c r="E728" s="29" t="s">
        <v>78</v>
      </c>
      <c r="F728" s="29" t="s">
        <v>78</v>
      </c>
      <c r="G728" s="27" t="s">
        <v>79</v>
      </c>
      <c r="H728" s="29" t="s">
        <v>78</v>
      </c>
      <c r="I728" s="29" t="s">
        <v>78</v>
      </c>
      <c r="J728" s="22" t="s">
        <v>78</v>
      </c>
      <c r="K728" s="47" t="s">
        <v>78</v>
      </c>
      <c r="L728" s="22" t="s">
        <v>78</v>
      </c>
      <c r="M728" s="23" t="s">
        <v>78</v>
      </c>
      <c r="N728" s="24" t="s">
        <v>78</v>
      </c>
      <c r="O728" s="24" t="s">
        <v>78</v>
      </c>
      <c r="P728" s="23">
        <f>IF(G728="غياب",VLOOKUP(C728,Employees!$A$3:$J$36,9,FALSE()),0)</f>
        <v>0</v>
      </c>
    </row>
    <row r="729" spans="1:16" ht="15" customHeight="1">
      <c r="A729" s="17" t="s">
        <v>80</v>
      </c>
      <c r="B729" s="19" t="s">
        <v>81</v>
      </c>
      <c r="C729" s="19" t="s">
        <v>45</v>
      </c>
      <c r="D729" s="19" t="str">
        <f>VLOOKUP(C729,Employees!A:J,2,0)</f>
        <v>مريم فتح الله</v>
      </c>
      <c r="E729" s="20" t="s">
        <v>78</v>
      </c>
      <c r="F729" s="20" t="s">
        <v>78</v>
      </c>
      <c r="G729" s="21" t="s">
        <v>69</v>
      </c>
      <c r="H729" s="20" t="s">
        <v>78</v>
      </c>
      <c r="I729" s="20" t="s">
        <v>78</v>
      </c>
      <c r="J729" s="22" t="s">
        <v>78</v>
      </c>
      <c r="K729" s="47" t="s">
        <v>78</v>
      </c>
      <c r="L729" s="22" t="s">
        <v>78</v>
      </c>
      <c r="M729" s="23" t="s">
        <v>78</v>
      </c>
      <c r="N729" s="24" t="s">
        <v>78</v>
      </c>
      <c r="O729" s="25" t="s">
        <v>78</v>
      </c>
      <c r="P729" s="23">
        <f>IF(G729="غياب",VLOOKUP(C729,Employees!$A$3:$J$36,9,FALSE()),0)</f>
        <v>0</v>
      </c>
    </row>
    <row r="730" spans="1:16" ht="15" customHeight="1">
      <c r="A730" s="17" t="s">
        <v>82</v>
      </c>
      <c r="B730" s="19" t="s">
        <v>83</v>
      </c>
      <c r="C730" s="19" t="s">
        <v>45</v>
      </c>
      <c r="D730" s="19" t="str">
        <f>VLOOKUP(C730,Employees!A:J,2,0)</f>
        <v>مريم فتح الله</v>
      </c>
      <c r="E730" s="20" t="s">
        <v>78</v>
      </c>
      <c r="F730" s="20" t="s">
        <v>78</v>
      </c>
      <c r="G730" s="21" t="s">
        <v>69</v>
      </c>
      <c r="H730" s="20" t="s">
        <v>78</v>
      </c>
      <c r="I730" s="20" t="s">
        <v>78</v>
      </c>
      <c r="J730" s="22" t="s">
        <v>78</v>
      </c>
      <c r="K730" s="47" t="s">
        <v>78</v>
      </c>
      <c r="L730" s="22" t="s">
        <v>78</v>
      </c>
      <c r="M730" s="23" t="s">
        <v>78</v>
      </c>
      <c r="N730" s="24" t="s">
        <v>78</v>
      </c>
      <c r="O730" s="25" t="s">
        <v>78</v>
      </c>
      <c r="P730" s="23">
        <f>IF(G730="غياب",VLOOKUP(C730,Employees!$A$3:$J$36,9,FALSE()),0)</f>
        <v>0</v>
      </c>
    </row>
    <row r="731" spans="1:16" ht="15" customHeight="1">
      <c r="A731" s="17" t="s">
        <v>84</v>
      </c>
      <c r="B731" s="19" t="s">
        <v>68</v>
      </c>
      <c r="C731" s="19" t="s">
        <v>45</v>
      </c>
      <c r="D731" s="19" t="str">
        <f>VLOOKUP(C731,Employees!A:J,2,0)</f>
        <v>مريم فتح الله</v>
      </c>
      <c r="E731" s="20" t="s">
        <v>78</v>
      </c>
      <c r="F731" s="20" t="s">
        <v>78</v>
      </c>
      <c r="G731" s="21" t="s">
        <v>69</v>
      </c>
      <c r="H731" s="20" t="s">
        <v>78</v>
      </c>
      <c r="I731" s="20" t="s">
        <v>78</v>
      </c>
      <c r="J731" s="22" t="s">
        <v>78</v>
      </c>
      <c r="K731" s="47" t="s">
        <v>78</v>
      </c>
      <c r="L731" s="22" t="s">
        <v>78</v>
      </c>
      <c r="M731" s="23" t="s">
        <v>78</v>
      </c>
      <c r="N731" s="24" t="s">
        <v>78</v>
      </c>
      <c r="O731" s="25" t="s">
        <v>78</v>
      </c>
      <c r="P731" s="23">
        <f>IF(G731="غياب",VLOOKUP(C731,Employees!$A$3:$J$36,9,FALSE()),0)</f>
        <v>0</v>
      </c>
    </row>
    <row r="732" spans="1:16" ht="15" customHeight="1">
      <c r="A732" s="17" t="s">
        <v>85</v>
      </c>
      <c r="B732" s="19" t="s">
        <v>71</v>
      </c>
      <c r="C732" s="19" t="s">
        <v>45</v>
      </c>
      <c r="D732" s="19" t="str">
        <f>VLOOKUP(C732,Employees!A:J,2,0)</f>
        <v>مريم فتح الله</v>
      </c>
      <c r="E732" s="20" t="s">
        <v>78</v>
      </c>
      <c r="F732" s="20" t="s">
        <v>78</v>
      </c>
      <c r="G732" s="21" t="s">
        <v>69</v>
      </c>
      <c r="H732" s="20" t="s">
        <v>78</v>
      </c>
      <c r="I732" s="20" t="s">
        <v>78</v>
      </c>
      <c r="J732" s="22" t="s">
        <v>78</v>
      </c>
      <c r="K732" s="47" t="s">
        <v>78</v>
      </c>
      <c r="L732" s="22" t="s">
        <v>78</v>
      </c>
      <c r="M732" s="23" t="s">
        <v>78</v>
      </c>
      <c r="N732" s="24" t="s">
        <v>78</v>
      </c>
      <c r="O732" s="25" t="s">
        <v>78</v>
      </c>
      <c r="P732" s="23">
        <f>IF(G732="غياب",VLOOKUP(C732,Employees!$A$3:$J$36,9,FALSE()),0)</f>
        <v>0</v>
      </c>
    </row>
    <row r="733" spans="1:16" ht="15" customHeight="1">
      <c r="A733" s="17" t="s">
        <v>86</v>
      </c>
      <c r="B733" s="19" t="s">
        <v>73</v>
      </c>
      <c r="C733" s="19" t="s">
        <v>45</v>
      </c>
      <c r="D733" s="19" t="str">
        <f>VLOOKUP(C733,Employees!A:J,2,0)</f>
        <v>مريم فتح الله</v>
      </c>
      <c r="E733" s="20" t="s">
        <v>78</v>
      </c>
      <c r="F733" s="20" t="s">
        <v>78</v>
      </c>
      <c r="G733" s="21" t="s">
        <v>69</v>
      </c>
      <c r="H733" s="20" t="s">
        <v>78</v>
      </c>
      <c r="I733" s="20" t="s">
        <v>78</v>
      </c>
      <c r="J733" s="22" t="s">
        <v>78</v>
      </c>
      <c r="K733" s="47" t="s">
        <v>78</v>
      </c>
      <c r="L733" s="22" t="s">
        <v>78</v>
      </c>
      <c r="M733" s="23" t="s">
        <v>78</v>
      </c>
      <c r="N733" s="24" t="s">
        <v>78</v>
      </c>
      <c r="O733" s="25" t="s">
        <v>78</v>
      </c>
      <c r="P733" s="23">
        <f>IF(G733="غياب",VLOOKUP(C733,Employees!$A$3:$J$36,9,FALSE()),0)</f>
        <v>0</v>
      </c>
    </row>
    <row r="734" spans="1:16" ht="15" customHeight="1">
      <c r="A734" s="17" t="s">
        <v>87</v>
      </c>
      <c r="B734" s="19" t="s">
        <v>75</v>
      </c>
      <c r="C734" s="19" t="s">
        <v>45</v>
      </c>
      <c r="D734" s="19" t="str">
        <f>VLOOKUP(C734,Employees!A:J,2,0)</f>
        <v>مريم فتح الله</v>
      </c>
      <c r="E734" s="20" t="s">
        <v>78</v>
      </c>
      <c r="F734" s="20" t="s">
        <v>78</v>
      </c>
      <c r="G734" s="21" t="s">
        <v>69</v>
      </c>
      <c r="H734" s="20" t="s">
        <v>78</v>
      </c>
      <c r="I734" s="20" t="s">
        <v>78</v>
      </c>
      <c r="J734" s="22" t="s">
        <v>78</v>
      </c>
      <c r="K734" s="47" t="s">
        <v>78</v>
      </c>
      <c r="L734" s="22" t="s">
        <v>78</v>
      </c>
      <c r="M734" s="23" t="s">
        <v>78</v>
      </c>
      <c r="N734" s="24" t="s">
        <v>78</v>
      </c>
      <c r="O734" s="25" t="s">
        <v>78</v>
      </c>
      <c r="P734" s="23">
        <f>IF(G734="غياب",VLOOKUP(C734,Employees!$A$3:$J$36,9,FALSE()),0)</f>
        <v>0</v>
      </c>
    </row>
    <row r="735" spans="1:16" ht="15" customHeight="1">
      <c r="A735" s="26" t="s">
        <v>88</v>
      </c>
      <c r="B735" s="28" t="s">
        <v>77</v>
      </c>
      <c r="C735" s="28" t="s">
        <v>45</v>
      </c>
      <c r="D735" s="28" t="str">
        <f>VLOOKUP(C735,Employees!A:J,2,0)</f>
        <v>مريم فتح الله</v>
      </c>
      <c r="E735" s="29" t="s">
        <v>78</v>
      </c>
      <c r="F735" s="29" t="s">
        <v>78</v>
      </c>
      <c r="G735" s="27" t="s">
        <v>79</v>
      </c>
      <c r="H735" s="29" t="s">
        <v>78</v>
      </c>
      <c r="I735" s="29" t="s">
        <v>78</v>
      </c>
      <c r="J735" s="22" t="s">
        <v>78</v>
      </c>
      <c r="K735" s="47" t="s">
        <v>78</v>
      </c>
      <c r="L735" s="22" t="s">
        <v>78</v>
      </c>
      <c r="M735" s="23" t="s">
        <v>78</v>
      </c>
      <c r="N735" s="24" t="s">
        <v>78</v>
      </c>
      <c r="O735" s="24" t="s">
        <v>78</v>
      </c>
      <c r="P735" s="23">
        <f>IF(G735="غياب",VLOOKUP(C735,Employees!$A$3:$J$36,9,FALSE()),0)</f>
        <v>0</v>
      </c>
    </row>
    <row r="736" spans="1:16" ht="15" customHeight="1">
      <c r="A736" s="26" t="s">
        <v>89</v>
      </c>
      <c r="B736" s="28" t="s">
        <v>81</v>
      </c>
      <c r="C736" s="28" t="s">
        <v>45</v>
      </c>
      <c r="D736" s="28" t="str">
        <f>VLOOKUP(C736,Employees!A:J,2,0)</f>
        <v>مريم فتح الله</v>
      </c>
      <c r="E736" s="29" t="s">
        <v>78</v>
      </c>
      <c r="F736" s="29" t="s">
        <v>78</v>
      </c>
      <c r="G736" s="27" t="s">
        <v>79</v>
      </c>
      <c r="H736" s="29" t="s">
        <v>78</v>
      </c>
      <c r="I736" s="29" t="s">
        <v>78</v>
      </c>
      <c r="J736" s="22" t="s">
        <v>78</v>
      </c>
      <c r="K736" s="47" t="s">
        <v>78</v>
      </c>
      <c r="L736" s="22" t="s">
        <v>78</v>
      </c>
      <c r="M736" s="23" t="s">
        <v>78</v>
      </c>
      <c r="N736" s="24" t="s">
        <v>78</v>
      </c>
      <c r="O736" s="24" t="s">
        <v>78</v>
      </c>
      <c r="P736" s="23">
        <f>IF(G736="غياب",VLOOKUP(C736,Employees!$A$3:$J$36,9,FALSE()),0)</f>
        <v>0</v>
      </c>
    </row>
    <row r="737" spans="1:16" ht="15" customHeight="1">
      <c r="A737" s="17" t="s">
        <v>90</v>
      </c>
      <c r="B737" s="19" t="s">
        <v>83</v>
      </c>
      <c r="C737" s="19" t="s">
        <v>45</v>
      </c>
      <c r="D737" s="19" t="str">
        <f>VLOOKUP(C737,Employees!A:J,2,0)</f>
        <v>مريم فتح الله</v>
      </c>
      <c r="E737" s="20" t="s">
        <v>78</v>
      </c>
      <c r="F737" s="20" t="s">
        <v>78</v>
      </c>
      <c r="G737" s="21" t="s">
        <v>69</v>
      </c>
      <c r="H737" s="20" t="s">
        <v>78</v>
      </c>
      <c r="I737" s="20" t="s">
        <v>78</v>
      </c>
      <c r="J737" s="22" t="s">
        <v>78</v>
      </c>
      <c r="K737" s="47" t="s">
        <v>78</v>
      </c>
      <c r="L737" s="22" t="s">
        <v>78</v>
      </c>
      <c r="M737" s="23" t="s">
        <v>78</v>
      </c>
      <c r="N737" s="24" t="s">
        <v>78</v>
      </c>
      <c r="O737" s="25" t="s">
        <v>78</v>
      </c>
      <c r="P737" s="23">
        <f>IF(G737="غياب",VLOOKUP(C737,Employees!$A$3:$J$36,9,FALSE()),0)</f>
        <v>0</v>
      </c>
    </row>
    <row r="738" spans="1:16" ht="15" customHeight="1">
      <c r="A738" s="17" t="s">
        <v>91</v>
      </c>
      <c r="B738" s="19" t="s">
        <v>68</v>
      </c>
      <c r="C738" s="19" t="s">
        <v>45</v>
      </c>
      <c r="D738" s="19" t="str">
        <f>VLOOKUP(C738,Employees!A:J,2,0)</f>
        <v>مريم فتح الله</v>
      </c>
      <c r="E738" s="20" t="s">
        <v>78</v>
      </c>
      <c r="F738" s="20" t="s">
        <v>78</v>
      </c>
      <c r="G738" s="21" t="s">
        <v>69</v>
      </c>
      <c r="H738" s="20" t="s">
        <v>78</v>
      </c>
      <c r="I738" s="20" t="s">
        <v>78</v>
      </c>
      <c r="J738" s="22" t="s">
        <v>78</v>
      </c>
      <c r="K738" s="47" t="s">
        <v>78</v>
      </c>
      <c r="L738" s="22" t="s">
        <v>78</v>
      </c>
      <c r="M738" s="23" t="s">
        <v>78</v>
      </c>
      <c r="N738" s="24" t="s">
        <v>78</v>
      </c>
      <c r="O738" s="25" t="s">
        <v>78</v>
      </c>
      <c r="P738" s="23">
        <f>IF(G738="غياب",VLOOKUP(C738,Employees!$A$3:$J$36,9,FALSE()),0)</f>
        <v>0</v>
      </c>
    </row>
    <row r="739" spans="1:16" ht="15" customHeight="1">
      <c r="A739" s="17" t="s">
        <v>92</v>
      </c>
      <c r="B739" s="19" t="s">
        <v>71</v>
      </c>
      <c r="C739" s="19" t="s">
        <v>45</v>
      </c>
      <c r="D739" s="19" t="str">
        <f>VLOOKUP(C739,Employees!A:J,2,0)</f>
        <v>مريم فتح الله</v>
      </c>
      <c r="E739" s="20" t="s">
        <v>78</v>
      </c>
      <c r="F739" s="20" t="s">
        <v>78</v>
      </c>
      <c r="G739" s="21" t="s">
        <v>69</v>
      </c>
      <c r="H739" s="20" t="s">
        <v>78</v>
      </c>
      <c r="I739" s="20" t="s">
        <v>78</v>
      </c>
      <c r="J739" s="22" t="s">
        <v>78</v>
      </c>
      <c r="K739" s="47" t="s">
        <v>78</v>
      </c>
      <c r="L739" s="22" t="s">
        <v>78</v>
      </c>
      <c r="M739" s="23" t="s">
        <v>78</v>
      </c>
      <c r="N739" s="24" t="s">
        <v>78</v>
      </c>
      <c r="O739" s="25" t="s">
        <v>78</v>
      </c>
      <c r="P739" s="23">
        <f>IF(G739="غياب",VLOOKUP(C739,Employees!$A$3:$J$36,9,FALSE()),0)</f>
        <v>0</v>
      </c>
    </row>
    <row r="740" spans="1:16" ht="15" customHeight="1">
      <c r="A740" s="17" t="s">
        <v>93</v>
      </c>
      <c r="B740" s="19" t="s">
        <v>73</v>
      </c>
      <c r="C740" s="19" t="s">
        <v>45</v>
      </c>
      <c r="D740" s="19" t="str">
        <f>VLOOKUP(C740,Employees!A:J,2,0)</f>
        <v>مريم فتح الله</v>
      </c>
      <c r="E740" s="20" t="s">
        <v>78</v>
      </c>
      <c r="F740" s="20" t="s">
        <v>78</v>
      </c>
      <c r="G740" s="21" t="s">
        <v>69</v>
      </c>
      <c r="H740" s="20" t="s">
        <v>78</v>
      </c>
      <c r="I740" s="20" t="s">
        <v>78</v>
      </c>
      <c r="J740" s="22" t="s">
        <v>78</v>
      </c>
      <c r="K740" s="47" t="s">
        <v>78</v>
      </c>
      <c r="L740" s="22" t="s">
        <v>78</v>
      </c>
      <c r="M740" s="23" t="s">
        <v>78</v>
      </c>
      <c r="N740" s="24" t="s">
        <v>78</v>
      </c>
      <c r="O740" s="25" t="s">
        <v>78</v>
      </c>
      <c r="P740" s="23">
        <f>IF(G740="غياب",VLOOKUP(C740,Employees!$A$3:$J$36,9,FALSE()),0)</f>
        <v>0</v>
      </c>
    </row>
    <row r="741" spans="1:16" ht="15" customHeight="1">
      <c r="A741" s="17" t="s">
        <v>94</v>
      </c>
      <c r="B741" s="19" t="s">
        <v>75</v>
      </c>
      <c r="C741" s="19" t="s">
        <v>45</v>
      </c>
      <c r="D741" s="19" t="str">
        <f>VLOOKUP(C741,Employees!A:J,2,0)</f>
        <v>مريم فتح الله</v>
      </c>
      <c r="E741" s="20" t="s">
        <v>78</v>
      </c>
      <c r="F741" s="20" t="s">
        <v>78</v>
      </c>
      <c r="G741" s="21" t="s">
        <v>69</v>
      </c>
      <c r="H741" s="20" t="s">
        <v>78</v>
      </c>
      <c r="I741" s="20" t="s">
        <v>78</v>
      </c>
      <c r="J741" s="22" t="s">
        <v>78</v>
      </c>
      <c r="K741" s="47" t="s">
        <v>78</v>
      </c>
      <c r="L741" s="22" t="s">
        <v>78</v>
      </c>
      <c r="M741" s="23" t="s">
        <v>78</v>
      </c>
      <c r="N741" s="24" t="s">
        <v>78</v>
      </c>
      <c r="O741" s="25" t="s">
        <v>78</v>
      </c>
      <c r="P741" s="23">
        <f>IF(G741="غياب",VLOOKUP(C741,Employees!$A$3:$J$36,9,FALSE()),0)</f>
        <v>0</v>
      </c>
    </row>
    <row r="742" spans="1:16" ht="15" customHeight="1">
      <c r="A742" s="26" t="s">
        <v>95</v>
      </c>
      <c r="B742" s="28" t="s">
        <v>77</v>
      </c>
      <c r="C742" s="28" t="s">
        <v>45</v>
      </c>
      <c r="D742" s="28" t="str">
        <f>VLOOKUP(C742,Employees!A:J,2,0)</f>
        <v>مريم فتح الله</v>
      </c>
      <c r="E742" s="29" t="s">
        <v>78</v>
      </c>
      <c r="F742" s="29" t="s">
        <v>78</v>
      </c>
      <c r="G742" s="27" t="s">
        <v>79</v>
      </c>
      <c r="H742" s="29" t="s">
        <v>78</v>
      </c>
      <c r="I742" s="29" t="s">
        <v>78</v>
      </c>
      <c r="J742" s="22" t="s">
        <v>78</v>
      </c>
      <c r="K742" s="47" t="s">
        <v>78</v>
      </c>
      <c r="L742" s="22" t="s">
        <v>78</v>
      </c>
      <c r="M742" s="23" t="s">
        <v>78</v>
      </c>
      <c r="N742" s="24" t="s">
        <v>78</v>
      </c>
      <c r="O742" s="24" t="s">
        <v>78</v>
      </c>
      <c r="P742" s="23">
        <f>IF(G742="غياب",VLOOKUP(C742,Employees!$A$3:$J$36,9,FALSE()),0)</f>
        <v>0</v>
      </c>
    </row>
    <row r="743" spans="1:16" ht="15" customHeight="1">
      <c r="A743" s="17" t="s">
        <v>96</v>
      </c>
      <c r="B743" s="19" t="s">
        <v>81</v>
      </c>
      <c r="C743" s="19" t="s">
        <v>45</v>
      </c>
      <c r="D743" s="19" t="str">
        <f>VLOOKUP(C743,Employees!A:J,2,0)</f>
        <v>مريم فتح الله</v>
      </c>
      <c r="E743" s="20" t="s">
        <v>78</v>
      </c>
      <c r="F743" s="20" t="s">
        <v>78</v>
      </c>
      <c r="G743" s="21" t="s">
        <v>69</v>
      </c>
      <c r="H743" s="20" t="s">
        <v>78</v>
      </c>
      <c r="I743" s="20" t="s">
        <v>78</v>
      </c>
      <c r="J743" s="22" t="s">
        <v>78</v>
      </c>
      <c r="K743" s="47" t="s">
        <v>78</v>
      </c>
      <c r="L743" s="22" t="s">
        <v>78</v>
      </c>
      <c r="M743" s="23" t="s">
        <v>78</v>
      </c>
      <c r="N743" s="24" t="s">
        <v>78</v>
      </c>
      <c r="O743" s="25" t="s">
        <v>78</v>
      </c>
      <c r="P743" s="23">
        <f>IF(G743="غياب",VLOOKUP(C743,Employees!$A$3:$J$36,9,FALSE()),0)</f>
        <v>0</v>
      </c>
    </row>
    <row r="744" spans="1:16" ht="15" customHeight="1">
      <c r="A744" s="17" t="s">
        <v>97</v>
      </c>
      <c r="B744" s="19" t="s">
        <v>83</v>
      </c>
      <c r="C744" s="19" t="s">
        <v>45</v>
      </c>
      <c r="D744" s="19" t="str">
        <f>VLOOKUP(C744,Employees!A:J,2,0)</f>
        <v>مريم فتح الله</v>
      </c>
      <c r="E744" s="20" t="s">
        <v>78</v>
      </c>
      <c r="F744" s="20" t="s">
        <v>78</v>
      </c>
      <c r="G744" s="21" t="s">
        <v>69</v>
      </c>
      <c r="H744" s="20" t="s">
        <v>78</v>
      </c>
      <c r="I744" s="20" t="s">
        <v>78</v>
      </c>
      <c r="J744" s="22" t="s">
        <v>78</v>
      </c>
      <c r="K744" s="47" t="s">
        <v>78</v>
      </c>
      <c r="L744" s="22" t="s">
        <v>78</v>
      </c>
      <c r="M744" s="23" t="s">
        <v>78</v>
      </c>
      <c r="N744" s="24" t="s">
        <v>78</v>
      </c>
      <c r="O744" s="25" t="s">
        <v>78</v>
      </c>
      <c r="P744" s="23">
        <f>IF(G744="غياب",VLOOKUP(C744,Employees!$A$3:$J$36,9,FALSE()),0)</f>
        <v>0</v>
      </c>
    </row>
    <row r="745" spans="1:16" ht="15" customHeight="1">
      <c r="A745" s="17" t="s">
        <v>98</v>
      </c>
      <c r="B745" s="19" t="s">
        <v>68</v>
      </c>
      <c r="C745" s="19" t="s">
        <v>45</v>
      </c>
      <c r="D745" s="19" t="str">
        <f>VLOOKUP(C745,Employees!A:J,2,0)</f>
        <v>مريم فتح الله</v>
      </c>
      <c r="E745" s="20" t="s">
        <v>78</v>
      </c>
      <c r="F745" s="20" t="s">
        <v>78</v>
      </c>
      <c r="G745" s="21" t="s">
        <v>69</v>
      </c>
      <c r="H745" s="20" t="s">
        <v>78</v>
      </c>
      <c r="I745" s="20" t="s">
        <v>78</v>
      </c>
      <c r="J745" s="22" t="s">
        <v>78</v>
      </c>
      <c r="K745" s="47" t="s">
        <v>78</v>
      </c>
      <c r="L745" s="22" t="s">
        <v>78</v>
      </c>
      <c r="M745" s="23" t="s">
        <v>78</v>
      </c>
      <c r="N745" s="24" t="s">
        <v>78</v>
      </c>
      <c r="O745" s="25" t="s">
        <v>78</v>
      </c>
      <c r="P745" s="23">
        <f>IF(G745="غياب",VLOOKUP(C745,Employees!$A$3:$J$36,9,FALSE()),0)</f>
        <v>0</v>
      </c>
    </row>
    <row r="746" spans="1:16" ht="15" customHeight="1">
      <c r="A746" s="17" t="s">
        <v>99</v>
      </c>
      <c r="B746" s="19" t="s">
        <v>71</v>
      </c>
      <c r="C746" s="19" t="s">
        <v>45</v>
      </c>
      <c r="D746" s="19" t="str">
        <f>VLOOKUP(C746,Employees!A:J,2,0)</f>
        <v>مريم فتح الله</v>
      </c>
      <c r="E746" s="20" t="s">
        <v>78</v>
      </c>
      <c r="F746" s="20" t="s">
        <v>78</v>
      </c>
      <c r="G746" s="21" t="s">
        <v>69</v>
      </c>
      <c r="H746" s="20" t="s">
        <v>78</v>
      </c>
      <c r="I746" s="20" t="s">
        <v>78</v>
      </c>
      <c r="J746" s="22" t="s">
        <v>78</v>
      </c>
      <c r="K746" s="47" t="s">
        <v>78</v>
      </c>
      <c r="L746" s="22" t="s">
        <v>78</v>
      </c>
      <c r="M746" s="23" t="s">
        <v>78</v>
      </c>
      <c r="N746" s="24" t="s">
        <v>78</v>
      </c>
      <c r="O746" s="25" t="s">
        <v>78</v>
      </c>
      <c r="P746" s="23">
        <f>IF(G746="غياب",VLOOKUP(C746,Employees!$A$3:$J$36,9,FALSE()),0)</f>
        <v>0</v>
      </c>
    </row>
    <row r="747" spans="1:16" ht="15" customHeight="1">
      <c r="A747" s="17" t="s">
        <v>100</v>
      </c>
      <c r="B747" s="19" t="s">
        <v>73</v>
      </c>
      <c r="C747" s="19" t="s">
        <v>45</v>
      </c>
      <c r="D747" s="19" t="str">
        <f>VLOOKUP(C747,Employees!A:J,2,0)</f>
        <v>مريم فتح الله</v>
      </c>
      <c r="E747" s="20" t="s">
        <v>78</v>
      </c>
      <c r="F747" s="20" t="s">
        <v>78</v>
      </c>
      <c r="G747" s="21" t="s">
        <v>69</v>
      </c>
      <c r="H747" s="20" t="s">
        <v>78</v>
      </c>
      <c r="I747" s="20" t="s">
        <v>78</v>
      </c>
      <c r="J747" s="22" t="s">
        <v>78</v>
      </c>
      <c r="K747" s="47" t="s">
        <v>78</v>
      </c>
      <c r="L747" s="22" t="s">
        <v>78</v>
      </c>
      <c r="M747" s="23" t="s">
        <v>78</v>
      </c>
      <c r="N747" s="24" t="s">
        <v>78</v>
      </c>
      <c r="O747" s="25" t="s">
        <v>78</v>
      </c>
      <c r="P747" s="23">
        <f>IF(G747="غياب",VLOOKUP(C747,Employees!$A$3:$J$36,9,FALSE()),0)</f>
        <v>0</v>
      </c>
    </row>
    <row r="748" spans="1:16" ht="15" customHeight="1">
      <c r="A748" s="17" t="s">
        <v>101</v>
      </c>
      <c r="B748" s="19" t="s">
        <v>75</v>
      </c>
      <c r="C748" s="19" t="s">
        <v>45</v>
      </c>
      <c r="D748" s="19" t="str">
        <f>VLOOKUP(C748,Employees!A:J,2,0)</f>
        <v>مريم فتح الله</v>
      </c>
      <c r="E748" s="20" t="s">
        <v>78</v>
      </c>
      <c r="F748" s="20" t="s">
        <v>78</v>
      </c>
      <c r="G748" s="21" t="s">
        <v>69</v>
      </c>
      <c r="H748" s="20" t="s">
        <v>78</v>
      </c>
      <c r="I748" s="20" t="s">
        <v>78</v>
      </c>
      <c r="J748" s="22" t="s">
        <v>78</v>
      </c>
      <c r="K748" s="47" t="s">
        <v>78</v>
      </c>
      <c r="L748" s="22" t="s">
        <v>78</v>
      </c>
      <c r="M748" s="23" t="s">
        <v>78</v>
      </c>
      <c r="N748" s="24" t="s">
        <v>78</v>
      </c>
      <c r="O748" s="25" t="s">
        <v>78</v>
      </c>
      <c r="P748" s="23">
        <f>IF(G748="غياب",VLOOKUP(C748,Employees!$A$3:$J$36,9,FALSE()),0)</f>
        <v>0</v>
      </c>
    </row>
    <row r="749" spans="1:16" ht="15" customHeight="1">
      <c r="A749" s="26" t="s">
        <v>102</v>
      </c>
      <c r="B749" s="28" t="s">
        <v>77</v>
      </c>
      <c r="C749" s="28" t="s">
        <v>45</v>
      </c>
      <c r="D749" s="28" t="str">
        <f>VLOOKUP(C749,Employees!A:J,2,0)</f>
        <v>مريم فتح الله</v>
      </c>
      <c r="E749" s="29" t="s">
        <v>78</v>
      </c>
      <c r="F749" s="29" t="s">
        <v>78</v>
      </c>
      <c r="G749" s="27" t="s">
        <v>79</v>
      </c>
      <c r="H749" s="29" t="s">
        <v>78</v>
      </c>
      <c r="I749" s="29" t="s">
        <v>78</v>
      </c>
      <c r="J749" s="22" t="s">
        <v>78</v>
      </c>
      <c r="K749" s="47" t="s">
        <v>78</v>
      </c>
      <c r="L749" s="22" t="s">
        <v>78</v>
      </c>
      <c r="M749" s="23" t="s">
        <v>78</v>
      </c>
      <c r="N749" s="24" t="s">
        <v>78</v>
      </c>
      <c r="O749" s="24" t="s">
        <v>78</v>
      </c>
      <c r="P749" s="23">
        <f>IF(G749="غياب",VLOOKUP(C749,Employees!$A$3:$J$36,9,FALSE()),0)</f>
        <v>0</v>
      </c>
    </row>
    <row r="750" spans="1:16" ht="15" customHeight="1">
      <c r="A750" s="17" t="s">
        <v>103</v>
      </c>
      <c r="B750" s="19" t="s">
        <v>81</v>
      </c>
      <c r="C750" s="19" t="s">
        <v>45</v>
      </c>
      <c r="D750" s="19" t="str">
        <f>VLOOKUP(C750,Employees!A:J,2,0)</f>
        <v>مريم فتح الله</v>
      </c>
      <c r="E750" s="20" t="s">
        <v>78</v>
      </c>
      <c r="F750" s="20" t="s">
        <v>78</v>
      </c>
      <c r="G750" s="21" t="s">
        <v>69</v>
      </c>
      <c r="H750" s="20" t="s">
        <v>78</v>
      </c>
      <c r="I750" s="20" t="s">
        <v>78</v>
      </c>
      <c r="J750" s="22" t="s">
        <v>78</v>
      </c>
      <c r="K750" s="47" t="s">
        <v>78</v>
      </c>
      <c r="L750" s="22" t="s">
        <v>78</v>
      </c>
      <c r="M750" s="23" t="s">
        <v>78</v>
      </c>
      <c r="N750" s="24" t="s">
        <v>78</v>
      </c>
      <c r="O750" s="25" t="s">
        <v>78</v>
      </c>
      <c r="P750" s="23">
        <f>IF(G750="غياب",VLOOKUP(C750,Employees!$A$3:$J$36,9,FALSE()),0)</f>
        <v>0</v>
      </c>
    </row>
    <row r="751" spans="1:16" ht="15" customHeight="1">
      <c r="A751" s="17" t="s">
        <v>104</v>
      </c>
      <c r="B751" s="19" t="s">
        <v>83</v>
      </c>
      <c r="C751" s="19" t="s">
        <v>45</v>
      </c>
      <c r="D751" s="19" t="str">
        <f>VLOOKUP(C751,Employees!A:J,2,0)</f>
        <v>مريم فتح الله</v>
      </c>
      <c r="E751" s="20" t="s">
        <v>78</v>
      </c>
      <c r="F751" s="20" t="s">
        <v>78</v>
      </c>
      <c r="G751" s="21" t="s">
        <v>69</v>
      </c>
      <c r="H751" s="20" t="s">
        <v>78</v>
      </c>
      <c r="I751" s="20" t="s">
        <v>78</v>
      </c>
      <c r="J751" s="22" t="s">
        <v>78</v>
      </c>
      <c r="K751" s="47" t="s">
        <v>78</v>
      </c>
      <c r="L751" s="22" t="s">
        <v>78</v>
      </c>
      <c r="M751" s="23" t="s">
        <v>78</v>
      </c>
      <c r="N751" s="24" t="s">
        <v>78</v>
      </c>
      <c r="O751" s="25" t="s">
        <v>78</v>
      </c>
      <c r="P751" s="23">
        <f>IF(G751="غياب",VLOOKUP(C751,Employees!$A$3:$J$36,9,FALSE()),0)</f>
        <v>0</v>
      </c>
    </row>
    <row r="752" spans="1:16" ht="15" customHeight="1">
      <c r="A752" s="17" t="s">
        <v>105</v>
      </c>
      <c r="B752" s="19" t="s">
        <v>68</v>
      </c>
      <c r="C752" s="19" t="s">
        <v>45</v>
      </c>
      <c r="D752" s="19" t="str">
        <f>VLOOKUP(C752,Employees!A:J,2,0)</f>
        <v>مريم فتح الله</v>
      </c>
      <c r="E752" s="20" t="s">
        <v>78</v>
      </c>
      <c r="F752" s="20" t="s">
        <v>78</v>
      </c>
      <c r="G752" s="21" t="s">
        <v>69</v>
      </c>
      <c r="H752" s="20" t="s">
        <v>78</v>
      </c>
      <c r="I752" s="20" t="s">
        <v>78</v>
      </c>
      <c r="J752" s="22" t="s">
        <v>78</v>
      </c>
      <c r="K752" s="47" t="s">
        <v>78</v>
      </c>
      <c r="L752" s="22" t="s">
        <v>78</v>
      </c>
      <c r="M752" s="23" t="s">
        <v>78</v>
      </c>
      <c r="N752" s="24" t="s">
        <v>78</v>
      </c>
      <c r="O752" s="25" t="s">
        <v>78</v>
      </c>
      <c r="P752" s="23">
        <f>IF(G752="غياب",VLOOKUP(C752,Employees!$A$3:$J$36,9,FALSE()),0)</f>
        <v>0</v>
      </c>
    </row>
    <row r="753" spans="1:16" ht="15" customHeight="1">
      <c r="A753" s="17" t="s">
        <v>106</v>
      </c>
      <c r="B753" s="19" t="s">
        <v>71</v>
      </c>
      <c r="C753" s="19" t="s">
        <v>45</v>
      </c>
      <c r="D753" s="19" t="str">
        <f>VLOOKUP(C753,Employees!A:J,2,0)</f>
        <v>مريم فتح الله</v>
      </c>
      <c r="E753" s="20" t="s">
        <v>78</v>
      </c>
      <c r="F753" s="20" t="s">
        <v>78</v>
      </c>
      <c r="G753" s="21" t="s">
        <v>69</v>
      </c>
      <c r="H753" s="20" t="s">
        <v>78</v>
      </c>
      <c r="I753" s="20" t="s">
        <v>78</v>
      </c>
      <c r="J753" s="22" t="s">
        <v>78</v>
      </c>
      <c r="K753" s="47" t="s">
        <v>78</v>
      </c>
      <c r="L753" s="22" t="s">
        <v>78</v>
      </c>
      <c r="M753" s="23" t="s">
        <v>78</v>
      </c>
      <c r="N753" s="24" t="s">
        <v>78</v>
      </c>
      <c r="O753" s="25" t="s">
        <v>78</v>
      </c>
      <c r="P753" s="23">
        <f>IF(G753="غياب",VLOOKUP(C753,Employees!$A$3:$J$36,9,FALSE()),0)</f>
        <v>0</v>
      </c>
    </row>
    <row r="754" spans="1:16" ht="15" customHeight="1">
      <c r="A754" s="48" t="s">
        <v>67</v>
      </c>
      <c r="B754" s="49" t="s">
        <v>68</v>
      </c>
      <c r="C754" s="49" t="s">
        <v>46</v>
      </c>
      <c r="D754" s="49" t="str">
        <f>VLOOKUP(C754,Employees!A:J,2,0)</f>
        <v>ساميه محمد</v>
      </c>
      <c r="E754" s="50" t="s">
        <v>78</v>
      </c>
      <c r="F754" s="50" t="s">
        <v>78</v>
      </c>
      <c r="G754" s="51" t="s">
        <v>130</v>
      </c>
      <c r="H754" s="50" t="s">
        <v>78</v>
      </c>
      <c r="I754" s="50" t="s">
        <v>78</v>
      </c>
      <c r="J754" s="22" t="s">
        <v>78</v>
      </c>
      <c r="K754" s="47" t="s">
        <v>78</v>
      </c>
      <c r="L754" s="22" t="s">
        <v>78</v>
      </c>
      <c r="M754" s="23" t="s">
        <v>78</v>
      </c>
      <c r="N754" s="24" t="s">
        <v>78</v>
      </c>
      <c r="O754" s="25" t="s">
        <v>78</v>
      </c>
      <c r="P754" s="23">
        <f>IF(G754="غياب",VLOOKUP(C754,Employees!$A$3:$J$36,9,FALSE()),0)</f>
        <v>351.85185185185185</v>
      </c>
    </row>
    <row r="755" spans="1:16" ht="15" customHeight="1">
      <c r="A755" s="17" t="s">
        <v>70</v>
      </c>
      <c r="B755" s="19" t="s">
        <v>71</v>
      </c>
      <c r="C755" s="19" t="s">
        <v>46</v>
      </c>
      <c r="D755" s="19" t="str">
        <f>VLOOKUP(C755,Employees!A:J,2,0)</f>
        <v>ساميه محمد</v>
      </c>
      <c r="E755" s="20" t="s">
        <v>78</v>
      </c>
      <c r="F755" s="20" t="s">
        <v>78</v>
      </c>
      <c r="G755" s="21" t="s">
        <v>69</v>
      </c>
      <c r="H755" s="20" t="s">
        <v>78</v>
      </c>
      <c r="I755" s="20" t="s">
        <v>78</v>
      </c>
      <c r="J755" s="22" t="s">
        <v>78</v>
      </c>
      <c r="K755" s="47" t="s">
        <v>78</v>
      </c>
      <c r="L755" s="22" t="s">
        <v>78</v>
      </c>
      <c r="M755" s="23" t="s">
        <v>78</v>
      </c>
      <c r="N755" s="24" t="s">
        <v>78</v>
      </c>
      <c r="O755" s="25" t="s">
        <v>78</v>
      </c>
      <c r="P755" s="23">
        <f>IF(G755="غياب",VLOOKUP(C755,Employees!$A$3:$J$36,9,FALSE()),0)</f>
        <v>0</v>
      </c>
    </row>
    <row r="756" spans="1:16" ht="15" customHeight="1">
      <c r="A756" s="17" t="s">
        <v>72</v>
      </c>
      <c r="B756" s="19" t="s">
        <v>73</v>
      </c>
      <c r="C756" s="19" t="s">
        <v>46</v>
      </c>
      <c r="D756" s="19" t="str">
        <f>VLOOKUP(C756,Employees!A:J,2,0)</f>
        <v>ساميه محمد</v>
      </c>
      <c r="E756" s="20" t="s">
        <v>78</v>
      </c>
      <c r="F756" s="20" t="s">
        <v>78</v>
      </c>
      <c r="G756" s="21" t="s">
        <v>69</v>
      </c>
      <c r="H756" s="20" t="s">
        <v>78</v>
      </c>
      <c r="I756" s="20" t="s">
        <v>78</v>
      </c>
      <c r="J756" s="22" t="s">
        <v>78</v>
      </c>
      <c r="K756" s="47" t="s">
        <v>78</v>
      </c>
      <c r="L756" s="22" t="s">
        <v>78</v>
      </c>
      <c r="M756" s="23" t="s">
        <v>78</v>
      </c>
      <c r="N756" s="24" t="s">
        <v>78</v>
      </c>
      <c r="O756" s="25" t="s">
        <v>78</v>
      </c>
      <c r="P756" s="23">
        <f>IF(G756="غياب",VLOOKUP(C756,Employees!$A$3:$J$36,9,FALSE()),0)</f>
        <v>0</v>
      </c>
    </row>
    <row r="757" spans="1:16" ht="15" customHeight="1">
      <c r="A757" s="17" t="s">
        <v>74</v>
      </c>
      <c r="B757" s="19" t="s">
        <v>75</v>
      </c>
      <c r="C757" s="19" t="s">
        <v>46</v>
      </c>
      <c r="D757" s="19" t="str">
        <f>VLOOKUP(C757,Employees!A:J,2,0)</f>
        <v>ساميه محمد</v>
      </c>
      <c r="E757" s="20" t="s">
        <v>78</v>
      </c>
      <c r="F757" s="20" t="s">
        <v>78</v>
      </c>
      <c r="G757" s="21" t="s">
        <v>69</v>
      </c>
      <c r="H757" s="20" t="s">
        <v>78</v>
      </c>
      <c r="I757" s="20" t="s">
        <v>78</v>
      </c>
      <c r="J757" s="22" t="s">
        <v>78</v>
      </c>
      <c r="K757" s="47" t="s">
        <v>78</v>
      </c>
      <c r="L757" s="22" t="s">
        <v>78</v>
      </c>
      <c r="M757" s="23" t="s">
        <v>78</v>
      </c>
      <c r="N757" s="24" t="s">
        <v>78</v>
      </c>
      <c r="O757" s="25" t="s">
        <v>78</v>
      </c>
      <c r="P757" s="23">
        <f>IF(G757="غياب",VLOOKUP(C757,Employees!$A$3:$J$36,9,FALSE()),0)</f>
        <v>0</v>
      </c>
    </row>
    <row r="758" spans="1:16" ht="15" customHeight="1">
      <c r="A758" s="26" t="s">
        <v>76</v>
      </c>
      <c r="B758" s="28" t="s">
        <v>77</v>
      </c>
      <c r="C758" s="28" t="s">
        <v>46</v>
      </c>
      <c r="D758" s="28" t="str">
        <f>VLOOKUP(C758,Employees!A:J,2,0)</f>
        <v>ساميه محمد</v>
      </c>
      <c r="E758" s="29" t="s">
        <v>78</v>
      </c>
      <c r="F758" s="29" t="s">
        <v>78</v>
      </c>
      <c r="G758" s="27" t="s">
        <v>79</v>
      </c>
      <c r="H758" s="29" t="s">
        <v>78</v>
      </c>
      <c r="I758" s="29" t="s">
        <v>78</v>
      </c>
      <c r="J758" s="22" t="s">
        <v>78</v>
      </c>
      <c r="K758" s="47" t="s">
        <v>78</v>
      </c>
      <c r="L758" s="22" t="s">
        <v>78</v>
      </c>
      <c r="M758" s="23" t="s">
        <v>78</v>
      </c>
      <c r="N758" s="24" t="s">
        <v>78</v>
      </c>
      <c r="O758" s="24" t="s">
        <v>78</v>
      </c>
      <c r="P758" s="23">
        <f>IF(G758="غياب",VLOOKUP(C758,Employees!$A$3:$J$36,9,FALSE()),0)</f>
        <v>0</v>
      </c>
    </row>
    <row r="759" spans="1:16" ht="15" customHeight="1">
      <c r="A759" s="17" t="s">
        <v>80</v>
      </c>
      <c r="B759" s="19" t="s">
        <v>81</v>
      </c>
      <c r="C759" s="19" t="s">
        <v>46</v>
      </c>
      <c r="D759" s="19" t="str">
        <f>VLOOKUP(C759,Employees!A:J,2,0)</f>
        <v>ساميه محمد</v>
      </c>
      <c r="E759" s="20" t="s">
        <v>78</v>
      </c>
      <c r="F759" s="20" t="s">
        <v>78</v>
      </c>
      <c r="G759" s="21" t="s">
        <v>69</v>
      </c>
      <c r="H759" s="20" t="s">
        <v>78</v>
      </c>
      <c r="I759" s="20" t="s">
        <v>78</v>
      </c>
      <c r="J759" s="22" t="s">
        <v>78</v>
      </c>
      <c r="K759" s="47" t="s">
        <v>78</v>
      </c>
      <c r="L759" s="22" t="s">
        <v>78</v>
      </c>
      <c r="M759" s="23" t="s">
        <v>78</v>
      </c>
      <c r="N759" s="24" t="s">
        <v>78</v>
      </c>
      <c r="O759" s="25" t="s">
        <v>78</v>
      </c>
      <c r="P759" s="23">
        <f>IF(G759="غياب",VLOOKUP(C759,Employees!$A$3:$J$36,9,FALSE()),0)</f>
        <v>0</v>
      </c>
    </row>
    <row r="760" spans="1:16" ht="15" customHeight="1">
      <c r="A760" s="17" t="s">
        <v>82</v>
      </c>
      <c r="B760" s="19" t="s">
        <v>83</v>
      </c>
      <c r="C760" s="19" t="s">
        <v>46</v>
      </c>
      <c r="D760" s="19" t="str">
        <f>VLOOKUP(C760,Employees!A:J,2,0)</f>
        <v>ساميه محمد</v>
      </c>
      <c r="E760" s="20" t="s">
        <v>78</v>
      </c>
      <c r="F760" s="20" t="s">
        <v>78</v>
      </c>
      <c r="G760" s="21" t="s">
        <v>69</v>
      </c>
      <c r="H760" s="20" t="s">
        <v>78</v>
      </c>
      <c r="I760" s="20" t="s">
        <v>78</v>
      </c>
      <c r="J760" s="22" t="s">
        <v>78</v>
      </c>
      <c r="K760" s="47" t="s">
        <v>78</v>
      </c>
      <c r="L760" s="22" t="s">
        <v>78</v>
      </c>
      <c r="M760" s="23" t="s">
        <v>78</v>
      </c>
      <c r="N760" s="24" t="s">
        <v>78</v>
      </c>
      <c r="O760" s="25" t="s">
        <v>78</v>
      </c>
      <c r="P760" s="23">
        <f>IF(G760="غياب",VLOOKUP(C760,Employees!$A$3:$J$36,9,FALSE()),0)</f>
        <v>0</v>
      </c>
    </row>
    <row r="761" spans="1:16" ht="15" customHeight="1">
      <c r="A761" s="17" t="s">
        <v>84</v>
      </c>
      <c r="B761" s="19" t="s">
        <v>68</v>
      </c>
      <c r="C761" s="19" t="s">
        <v>46</v>
      </c>
      <c r="D761" s="19" t="str">
        <f>VLOOKUP(C761,Employees!A:J,2,0)</f>
        <v>ساميه محمد</v>
      </c>
      <c r="E761" s="20" t="s">
        <v>78</v>
      </c>
      <c r="F761" s="20" t="s">
        <v>78</v>
      </c>
      <c r="G761" s="21" t="s">
        <v>69</v>
      </c>
      <c r="H761" s="20" t="s">
        <v>78</v>
      </c>
      <c r="I761" s="20" t="s">
        <v>78</v>
      </c>
      <c r="J761" s="22" t="s">
        <v>78</v>
      </c>
      <c r="K761" s="47" t="s">
        <v>78</v>
      </c>
      <c r="L761" s="22" t="s">
        <v>78</v>
      </c>
      <c r="M761" s="23" t="s">
        <v>78</v>
      </c>
      <c r="N761" s="24" t="s">
        <v>78</v>
      </c>
      <c r="O761" s="25" t="s">
        <v>78</v>
      </c>
      <c r="P761" s="23">
        <f>IF(G761="غياب",VLOOKUP(C761,Employees!$A$3:$J$36,9,FALSE()),0)</f>
        <v>0</v>
      </c>
    </row>
    <row r="762" spans="1:16" ht="15" customHeight="1">
      <c r="A762" s="17" t="s">
        <v>85</v>
      </c>
      <c r="B762" s="19" t="s">
        <v>71</v>
      </c>
      <c r="C762" s="19" t="s">
        <v>46</v>
      </c>
      <c r="D762" s="19" t="str">
        <f>VLOOKUP(C762,Employees!A:J,2,0)</f>
        <v>ساميه محمد</v>
      </c>
      <c r="E762" s="20" t="s">
        <v>78</v>
      </c>
      <c r="F762" s="20" t="s">
        <v>78</v>
      </c>
      <c r="G762" s="21" t="s">
        <v>69</v>
      </c>
      <c r="H762" s="20" t="s">
        <v>78</v>
      </c>
      <c r="I762" s="20" t="s">
        <v>78</v>
      </c>
      <c r="J762" s="22" t="s">
        <v>78</v>
      </c>
      <c r="K762" s="47" t="s">
        <v>78</v>
      </c>
      <c r="L762" s="22" t="s">
        <v>78</v>
      </c>
      <c r="M762" s="23" t="s">
        <v>78</v>
      </c>
      <c r="N762" s="24" t="s">
        <v>78</v>
      </c>
      <c r="O762" s="25" t="s">
        <v>78</v>
      </c>
      <c r="P762" s="23">
        <f>IF(G762="غياب",VLOOKUP(C762,Employees!$A$3:$J$36,9,FALSE()),0)</f>
        <v>0</v>
      </c>
    </row>
    <row r="763" spans="1:16" ht="15" customHeight="1">
      <c r="A763" s="17" t="s">
        <v>86</v>
      </c>
      <c r="B763" s="19" t="s">
        <v>73</v>
      </c>
      <c r="C763" s="19" t="s">
        <v>46</v>
      </c>
      <c r="D763" s="19" t="str">
        <f>VLOOKUP(C763,Employees!A:J,2,0)</f>
        <v>ساميه محمد</v>
      </c>
      <c r="E763" s="20" t="s">
        <v>78</v>
      </c>
      <c r="F763" s="20" t="s">
        <v>78</v>
      </c>
      <c r="G763" s="21" t="s">
        <v>69</v>
      </c>
      <c r="H763" s="20" t="s">
        <v>78</v>
      </c>
      <c r="I763" s="20" t="s">
        <v>78</v>
      </c>
      <c r="J763" s="22" t="s">
        <v>78</v>
      </c>
      <c r="K763" s="47" t="s">
        <v>78</v>
      </c>
      <c r="L763" s="22" t="s">
        <v>78</v>
      </c>
      <c r="M763" s="23" t="s">
        <v>78</v>
      </c>
      <c r="N763" s="24" t="s">
        <v>78</v>
      </c>
      <c r="O763" s="25" t="s">
        <v>78</v>
      </c>
      <c r="P763" s="23">
        <f>IF(G763="غياب",VLOOKUP(C763,Employees!$A$3:$J$36,9,FALSE()),0)</f>
        <v>0</v>
      </c>
    </row>
    <row r="764" spans="1:16" ht="15" customHeight="1">
      <c r="A764" s="17" t="s">
        <v>87</v>
      </c>
      <c r="B764" s="19" t="s">
        <v>75</v>
      </c>
      <c r="C764" s="19" t="s">
        <v>46</v>
      </c>
      <c r="D764" s="19" t="str">
        <f>VLOOKUP(C764,Employees!A:J,2,0)</f>
        <v>ساميه محمد</v>
      </c>
      <c r="E764" s="20" t="s">
        <v>78</v>
      </c>
      <c r="F764" s="20" t="s">
        <v>78</v>
      </c>
      <c r="G764" s="21" t="s">
        <v>69</v>
      </c>
      <c r="H764" s="20" t="s">
        <v>78</v>
      </c>
      <c r="I764" s="20" t="s">
        <v>78</v>
      </c>
      <c r="J764" s="22" t="s">
        <v>78</v>
      </c>
      <c r="K764" s="47" t="s">
        <v>78</v>
      </c>
      <c r="L764" s="22" t="s">
        <v>78</v>
      </c>
      <c r="M764" s="23" t="s">
        <v>78</v>
      </c>
      <c r="N764" s="24" t="s">
        <v>78</v>
      </c>
      <c r="O764" s="25" t="s">
        <v>78</v>
      </c>
      <c r="P764" s="23">
        <f>IF(G764="غياب",VLOOKUP(C764,Employees!$A$3:$J$36,9,FALSE()),0)</f>
        <v>0</v>
      </c>
    </row>
    <row r="765" spans="1:16" ht="15" customHeight="1">
      <c r="A765" s="26" t="s">
        <v>88</v>
      </c>
      <c r="B765" s="28" t="s">
        <v>77</v>
      </c>
      <c r="C765" s="28" t="s">
        <v>46</v>
      </c>
      <c r="D765" s="28" t="str">
        <f>VLOOKUP(C765,Employees!A:J,2,0)</f>
        <v>ساميه محمد</v>
      </c>
      <c r="E765" s="29" t="s">
        <v>78</v>
      </c>
      <c r="F765" s="29" t="s">
        <v>78</v>
      </c>
      <c r="G765" s="27" t="s">
        <v>79</v>
      </c>
      <c r="H765" s="29" t="s">
        <v>78</v>
      </c>
      <c r="I765" s="29" t="s">
        <v>78</v>
      </c>
      <c r="J765" s="22" t="s">
        <v>78</v>
      </c>
      <c r="K765" s="47" t="s">
        <v>78</v>
      </c>
      <c r="L765" s="22" t="s">
        <v>78</v>
      </c>
      <c r="M765" s="23" t="s">
        <v>78</v>
      </c>
      <c r="N765" s="24" t="s">
        <v>78</v>
      </c>
      <c r="O765" s="24" t="s">
        <v>78</v>
      </c>
      <c r="P765" s="23">
        <f>IF(G765="غياب",VLOOKUP(C765,Employees!$A$3:$J$36,9,FALSE()),0)</f>
        <v>0</v>
      </c>
    </row>
    <row r="766" spans="1:16" ht="15" customHeight="1">
      <c r="A766" s="26" t="s">
        <v>89</v>
      </c>
      <c r="B766" s="28" t="s">
        <v>81</v>
      </c>
      <c r="C766" s="28" t="s">
        <v>46</v>
      </c>
      <c r="D766" s="28" t="str">
        <f>VLOOKUP(C766,Employees!A:J,2,0)</f>
        <v>ساميه محمد</v>
      </c>
      <c r="E766" s="29" t="s">
        <v>78</v>
      </c>
      <c r="F766" s="29" t="s">
        <v>78</v>
      </c>
      <c r="G766" s="27" t="s">
        <v>79</v>
      </c>
      <c r="H766" s="29" t="s">
        <v>78</v>
      </c>
      <c r="I766" s="29" t="s">
        <v>78</v>
      </c>
      <c r="J766" s="22" t="s">
        <v>78</v>
      </c>
      <c r="K766" s="47" t="s">
        <v>78</v>
      </c>
      <c r="L766" s="22" t="s">
        <v>78</v>
      </c>
      <c r="M766" s="23" t="s">
        <v>78</v>
      </c>
      <c r="N766" s="24" t="s">
        <v>78</v>
      </c>
      <c r="O766" s="24" t="s">
        <v>78</v>
      </c>
      <c r="P766" s="23">
        <f>IF(G766="غياب",VLOOKUP(C766,Employees!$A$3:$J$36,9,FALSE()),0)</f>
        <v>0</v>
      </c>
    </row>
    <row r="767" spans="1:16" ht="15" customHeight="1">
      <c r="A767" s="17" t="s">
        <v>90</v>
      </c>
      <c r="B767" s="19" t="s">
        <v>83</v>
      </c>
      <c r="C767" s="19" t="s">
        <v>46</v>
      </c>
      <c r="D767" s="19" t="str">
        <f>VLOOKUP(C767,Employees!A:J,2,0)</f>
        <v>ساميه محمد</v>
      </c>
      <c r="E767" s="20" t="s">
        <v>78</v>
      </c>
      <c r="F767" s="20" t="s">
        <v>78</v>
      </c>
      <c r="G767" s="21" t="s">
        <v>69</v>
      </c>
      <c r="H767" s="20" t="s">
        <v>78</v>
      </c>
      <c r="I767" s="20" t="s">
        <v>78</v>
      </c>
      <c r="J767" s="22" t="s">
        <v>78</v>
      </c>
      <c r="K767" s="47" t="s">
        <v>78</v>
      </c>
      <c r="L767" s="22" t="s">
        <v>78</v>
      </c>
      <c r="M767" s="23" t="s">
        <v>78</v>
      </c>
      <c r="N767" s="24" t="s">
        <v>78</v>
      </c>
      <c r="O767" s="25" t="s">
        <v>78</v>
      </c>
      <c r="P767" s="23">
        <f>IF(G767="غياب",VLOOKUP(C767,Employees!$A$3:$J$36,9,FALSE()),0)</f>
        <v>0</v>
      </c>
    </row>
    <row r="768" spans="1:16" ht="15" customHeight="1">
      <c r="A768" s="17" t="s">
        <v>91</v>
      </c>
      <c r="B768" s="19" t="s">
        <v>68</v>
      </c>
      <c r="C768" s="19" t="s">
        <v>46</v>
      </c>
      <c r="D768" s="19" t="str">
        <f>VLOOKUP(C768,Employees!A:J,2,0)</f>
        <v>ساميه محمد</v>
      </c>
      <c r="E768" s="20" t="s">
        <v>78</v>
      </c>
      <c r="F768" s="20" t="s">
        <v>78</v>
      </c>
      <c r="G768" s="21" t="s">
        <v>69</v>
      </c>
      <c r="H768" s="20" t="s">
        <v>78</v>
      </c>
      <c r="I768" s="20" t="s">
        <v>78</v>
      </c>
      <c r="J768" s="22" t="s">
        <v>78</v>
      </c>
      <c r="K768" s="47" t="s">
        <v>78</v>
      </c>
      <c r="L768" s="22" t="s">
        <v>78</v>
      </c>
      <c r="M768" s="23" t="s">
        <v>78</v>
      </c>
      <c r="N768" s="24" t="s">
        <v>78</v>
      </c>
      <c r="O768" s="25" t="s">
        <v>78</v>
      </c>
      <c r="P768" s="23">
        <f>IF(G768="غياب",VLOOKUP(C768,Employees!$A$3:$J$36,9,FALSE()),0)</f>
        <v>0</v>
      </c>
    </row>
    <row r="769" spans="1:16" ht="15" customHeight="1">
      <c r="A769" s="17" t="s">
        <v>92</v>
      </c>
      <c r="B769" s="19" t="s">
        <v>71</v>
      </c>
      <c r="C769" s="19" t="s">
        <v>46</v>
      </c>
      <c r="D769" s="19" t="str">
        <f>VLOOKUP(C769,Employees!A:J,2,0)</f>
        <v>ساميه محمد</v>
      </c>
      <c r="E769" s="20" t="s">
        <v>78</v>
      </c>
      <c r="F769" s="20" t="s">
        <v>78</v>
      </c>
      <c r="G769" s="21" t="s">
        <v>69</v>
      </c>
      <c r="H769" s="20" t="s">
        <v>78</v>
      </c>
      <c r="I769" s="20" t="s">
        <v>78</v>
      </c>
      <c r="J769" s="22" t="s">
        <v>78</v>
      </c>
      <c r="K769" s="47" t="s">
        <v>78</v>
      </c>
      <c r="L769" s="22" t="s">
        <v>78</v>
      </c>
      <c r="M769" s="23" t="s">
        <v>78</v>
      </c>
      <c r="N769" s="24" t="s">
        <v>78</v>
      </c>
      <c r="O769" s="25" t="s">
        <v>78</v>
      </c>
      <c r="P769" s="23">
        <f>IF(G769="غياب",VLOOKUP(C769,Employees!$A$3:$J$36,9,FALSE()),0)</f>
        <v>0</v>
      </c>
    </row>
    <row r="770" spans="1:16" ht="15" customHeight="1">
      <c r="A770" s="17" t="s">
        <v>93</v>
      </c>
      <c r="B770" s="19" t="s">
        <v>73</v>
      </c>
      <c r="C770" s="19" t="s">
        <v>46</v>
      </c>
      <c r="D770" s="19" t="str">
        <f>VLOOKUP(C770,Employees!A:J,2,0)</f>
        <v>ساميه محمد</v>
      </c>
      <c r="E770" s="20" t="s">
        <v>78</v>
      </c>
      <c r="F770" s="20" t="s">
        <v>78</v>
      </c>
      <c r="G770" s="21" t="s">
        <v>69</v>
      </c>
      <c r="H770" s="20" t="s">
        <v>78</v>
      </c>
      <c r="I770" s="20" t="s">
        <v>78</v>
      </c>
      <c r="J770" s="22" t="s">
        <v>78</v>
      </c>
      <c r="K770" s="47" t="s">
        <v>78</v>
      </c>
      <c r="L770" s="22" t="s">
        <v>78</v>
      </c>
      <c r="M770" s="23" t="s">
        <v>78</v>
      </c>
      <c r="N770" s="24" t="s">
        <v>78</v>
      </c>
      <c r="O770" s="25" t="s">
        <v>78</v>
      </c>
      <c r="P770" s="23">
        <f>IF(G770="غياب",VLOOKUP(C770,Employees!$A$3:$J$36,9,FALSE()),0)</f>
        <v>0</v>
      </c>
    </row>
    <row r="771" spans="1:16" ht="15" customHeight="1">
      <c r="A771" s="17" t="s">
        <v>94</v>
      </c>
      <c r="B771" s="19" t="s">
        <v>75</v>
      </c>
      <c r="C771" s="19" t="s">
        <v>46</v>
      </c>
      <c r="D771" s="19" t="str">
        <f>VLOOKUP(C771,Employees!A:J,2,0)</f>
        <v>ساميه محمد</v>
      </c>
      <c r="E771" s="20" t="s">
        <v>78</v>
      </c>
      <c r="F771" s="20" t="s">
        <v>78</v>
      </c>
      <c r="G771" s="21" t="s">
        <v>69</v>
      </c>
      <c r="H771" s="20" t="s">
        <v>78</v>
      </c>
      <c r="I771" s="20" t="s">
        <v>78</v>
      </c>
      <c r="J771" s="22" t="s">
        <v>78</v>
      </c>
      <c r="K771" s="47" t="s">
        <v>78</v>
      </c>
      <c r="L771" s="22" t="s">
        <v>78</v>
      </c>
      <c r="M771" s="23" t="s">
        <v>78</v>
      </c>
      <c r="N771" s="24" t="s">
        <v>78</v>
      </c>
      <c r="O771" s="25" t="s">
        <v>78</v>
      </c>
      <c r="P771" s="23">
        <f>IF(G771="غياب",VLOOKUP(C771,Employees!$A$3:$J$36,9,FALSE()),0)</f>
        <v>0</v>
      </c>
    </row>
    <row r="772" spans="1:16" ht="15" customHeight="1">
      <c r="A772" s="26" t="s">
        <v>95</v>
      </c>
      <c r="B772" s="28" t="s">
        <v>77</v>
      </c>
      <c r="C772" s="28" t="s">
        <v>46</v>
      </c>
      <c r="D772" s="28" t="str">
        <f>VLOOKUP(C772,Employees!A:J,2,0)</f>
        <v>ساميه محمد</v>
      </c>
      <c r="E772" s="29" t="s">
        <v>78</v>
      </c>
      <c r="F772" s="29" t="s">
        <v>78</v>
      </c>
      <c r="G772" s="27" t="s">
        <v>79</v>
      </c>
      <c r="H772" s="29" t="s">
        <v>78</v>
      </c>
      <c r="I772" s="29" t="s">
        <v>78</v>
      </c>
      <c r="J772" s="22" t="s">
        <v>78</v>
      </c>
      <c r="K772" s="47" t="s">
        <v>78</v>
      </c>
      <c r="L772" s="22" t="s">
        <v>78</v>
      </c>
      <c r="M772" s="23" t="s">
        <v>78</v>
      </c>
      <c r="N772" s="24" t="s">
        <v>78</v>
      </c>
      <c r="O772" s="24" t="s">
        <v>78</v>
      </c>
      <c r="P772" s="23">
        <f>IF(G772="غياب",VLOOKUP(C772,Employees!$A$3:$J$36,9,FALSE()),0)</f>
        <v>0</v>
      </c>
    </row>
    <row r="773" spans="1:16" ht="15" customHeight="1">
      <c r="A773" s="17" t="s">
        <v>96</v>
      </c>
      <c r="B773" s="19" t="s">
        <v>81</v>
      </c>
      <c r="C773" s="19" t="s">
        <v>46</v>
      </c>
      <c r="D773" s="19" t="str">
        <f>VLOOKUP(C773,Employees!A:J,2,0)</f>
        <v>ساميه محمد</v>
      </c>
      <c r="E773" s="20" t="s">
        <v>78</v>
      </c>
      <c r="F773" s="20" t="s">
        <v>78</v>
      </c>
      <c r="G773" s="21" t="s">
        <v>69</v>
      </c>
      <c r="H773" s="20" t="s">
        <v>78</v>
      </c>
      <c r="I773" s="20" t="s">
        <v>78</v>
      </c>
      <c r="J773" s="22" t="s">
        <v>78</v>
      </c>
      <c r="K773" s="47" t="s">
        <v>78</v>
      </c>
      <c r="L773" s="22" t="s">
        <v>78</v>
      </c>
      <c r="M773" s="23" t="s">
        <v>78</v>
      </c>
      <c r="N773" s="24" t="s">
        <v>78</v>
      </c>
      <c r="O773" s="25" t="s">
        <v>78</v>
      </c>
      <c r="P773" s="23">
        <f>IF(G773="غياب",VLOOKUP(C773,Employees!$A$3:$J$36,9,FALSE()),0)</f>
        <v>0</v>
      </c>
    </row>
    <row r="774" spans="1:16" ht="15" customHeight="1">
      <c r="A774" s="17" t="s">
        <v>97</v>
      </c>
      <c r="B774" s="19" t="s">
        <v>83</v>
      </c>
      <c r="C774" s="19" t="s">
        <v>46</v>
      </c>
      <c r="D774" s="19" t="str">
        <f>VLOOKUP(C774,Employees!A:J,2,0)</f>
        <v>ساميه محمد</v>
      </c>
      <c r="E774" s="20" t="s">
        <v>78</v>
      </c>
      <c r="F774" s="20" t="s">
        <v>78</v>
      </c>
      <c r="G774" s="21" t="s">
        <v>69</v>
      </c>
      <c r="H774" s="20" t="s">
        <v>78</v>
      </c>
      <c r="I774" s="20" t="s">
        <v>78</v>
      </c>
      <c r="J774" s="22" t="s">
        <v>78</v>
      </c>
      <c r="K774" s="47" t="s">
        <v>78</v>
      </c>
      <c r="L774" s="22" t="s">
        <v>78</v>
      </c>
      <c r="M774" s="23" t="s">
        <v>78</v>
      </c>
      <c r="N774" s="24" t="s">
        <v>78</v>
      </c>
      <c r="O774" s="25" t="s">
        <v>78</v>
      </c>
      <c r="P774" s="23">
        <f>IF(G774="غياب",VLOOKUP(C774,Employees!$A$3:$J$36,9,FALSE()),0)</f>
        <v>0</v>
      </c>
    </row>
    <row r="775" spans="1:16" ht="15" customHeight="1">
      <c r="A775" s="17" t="s">
        <v>98</v>
      </c>
      <c r="B775" s="19" t="s">
        <v>68</v>
      </c>
      <c r="C775" s="19" t="s">
        <v>46</v>
      </c>
      <c r="D775" s="19" t="str">
        <f>VLOOKUP(C775,Employees!A:J,2,0)</f>
        <v>ساميه محمد</v>
      </c>
      <c r="E775" s="20" t="s">
        <v>78</v>
      </c>
      <c r="F775" s="20" t="s">
        <v>78</v>
      </c>
      <c r="G775" s="21" t="s">
        <v>69</v>
      </c>
      <c r="H775" s="20" t="s">
        <v>78</v>
      </c>
      <c r="I775" s="20" t="s">
        <v>78</v>
      </c>
      <c r="J775" s="22" t="s">
        <v>78</v>
      </c>
      <c r="K775" s="47" t="s">
        <v>78</v>
      </c>
      <c r="L775" s="22" t="s">
        <v>78</v>
      </c>
      <c r="M775" s="23" t="s">
        <v>78</v>
      </c>
      <c r="N775" s="24" t="s">
        <v>78</v>
      </c>
      <c r="O775" s="25" t="s">
        <v>78</v>
      </c>
      <c r="P775" s="23">
        <f>IF(G775="غياب",VLOOKUP(C775,Employees!$A$3:$J$36,9,FALSE()),0)</f>
        <v>0</v>
      </c>
    </row>
    <row r="776" spans="1:16" ht="15" customHeight="1">
      <c r="A776" s="17" t="s">
        <v>99</v>
      </c>
      <c r="B776" s="19" t="s">
        <v>71</v>
      </c>
      <c r="C776" s="19" t="s">
        <v>46</v>
      </c>
      <c r="D776" s="19" t="str">
        <f>VLOOKUP(C776,Employees!A:J,2,0)</f>
        <v>ساميه محمد</v>
      </c>
      <c r="E776" s="20" t="s">
        <v>78</v>
      </c>
      <c r="F776" s="20" t="s">
        <v>78</v>
      </c>
      <c r="G776" s="21" t="s">
        <v>69</v>
      </c>
      <c r="H776" s="20" t="s">
        <v>78</v>
      </c>
      <c r="I776" s="20" t="s">
        <v>78</v>
      </c>
      <c r="J776" s="22" t="s">
        <v>78</v>
      </c>
      <c r="K776" s="47" t="s">
        <v>78</v>
      </c>
      <c r="L776" s="22" t="s">
        <v>78</v>
      </c>
      <c r="M776" s="23" t="s">
        <v>78</v>
      </c>
      <c r="N776" s="24" t="s">
        <v>78</v>
      </c>
      <c r="O776" s="25" t="s">
        <v>78</v>
      </c>
      <c r="P776" s="23">
        <f>IF(G776="غياب",VLOOKUP(C776,Employees!$A$3:$J$36,9,FALSE()),0)</f>
        <v>0</v>
      </c>
    </row>
    <row r="777" spans="1:16" ht="15" customHeight="1">
      <c r="A777" s="17" t="s">
        <v>100</v>
      </c>
      <c r="B777" s="19" t="s">
        <v>73</v>
      </c>
      <c r="C777" s="19" t="s">
        <v>46</v>
      </c>
      <c r="D777" s="19" t="str">
        <f>VLOOKUP(C777,Employees!A:J,2,0)</f>
        <v>ساميه محمد</v>
      </c>
      <c r="E777" s="20" t="s">
        <v>78</v>
      </c>
      <c r="F777" s="20" t="s">
        <v>78</v>
      </c>
      <c r="G777" s="21" t="s">
        <v>69</v>
      </c>
      <c r="H777" s="20" t="s">
        <v>78</v>
      </c>
      <c r="I777" s="20" t="s">
        <v>78</v>
      </c>
      <c r="J777" s="22" t="s">
        <v>78</v>
      </c>
      <c r="K777" s="47" t="s">
        <v>78</v>
      </c>
      <c r="L777" s="22" t="s">
        <v>78</v>
      </c>
      <c r="M777" s="23" t="s">
        <v>78</v>
      </c>
      <c r="N777" s="24" t="s">
        <v>78</v>
      </c>
      <c r="O777" s="25" t="s">
        <v>78</v>
      </c>
      <c r="P777" s="23">
        <f>IF(G777="غياب",VLOOKUP(C777,Employees!$A$3:$J$36,9,FALSE()),0)</f>
        <v>0</v>
      </c>
    </row>
    <row r="778" spans="1:16" ht="15" customHeight="1">
      <c r="A778" s="17" t="s">
        <v>101</v>
      </c>
      <c r="B778" s="19" t="s">
        <v>75</v>
      </c>
      <c r="C778" s="19" t="s">
        <v>46</v>
      </c>
      <c r="D778" s="19" t="str">
        <f>VLOOKUP(C778,Employees!A:J,2,0)</f>
        <v>ساميه محمد</v>
      </c>
      <c r="E778" s="20" t="s">
        <v>78</v>
      </c>
      <c r="F778" s="20" t="s">
        <v>78</v>
      </c>
      <c r="G778" s="21" t="s">
        <v>69</v>
      </c>
      <c r="H778" s="20" t="s">
        <v>78</v>
      </c>
      <c r="I778" s="20" t="s">
        <v>78</v>
      </c>
      <c r="J778" s="22" t="s">
        <v>78</v>
      </c>
      <c r="K778" s="47" t="s">
        <v>78</v>
      </c>
      <c r="L778" s="22" t="s">
        <v>78</v>
      </c>
      <c r="M778" s="23" t="s">
        <v>78</v>
      </c>
      <c r="N778" s="24" t="s">
        <v>78</v>
      </c>
      <c r="O778" s="25" t="s">
        <v>78</v>
      </c>
      <c r="P778" s="23">
        <f>IF(G778="غياب",VLOOKUP(C778,Employees!$A$3:$J$36,9,FALSE()),0)</f>
        <v>0</v>
      </c>
    </row>
    <row r="779" spans="1:16" ht="15" customHeight="1">
      <c r="A779" s="26" t="s">
        <v>102</v>
      </c>
      <c r="B779" s="28" t="s">
        <v>77</v>
      </c>
      <c r="C779" s="28" t="s">
        <v>46</v>
      </c>
      <c r="D779" s="28" t="str">
        <f>VLOOKUP(C779,Employees!A:J,2,0)</f>
        <v>ساميه محمد</v>
      </c>
      <c r="E779" s="29" t="s">
        <v>78</v>
      </c>
      <c r="F779" s="29" t="s">
        <v>78</v>
      </c>
      <c r="G779" s="27" t="s">
        <v>79</v>
      </c>
      <c r="H779" s="29" t="s">
        <v>78</v>
      </c>
      <c r="I779" s="29" t="s">
        <v>78</v>
      </c>
      <c r="J779" s="22" t="s">
        <v>78</v>
      </c>
      <c r="K779" s="47" t="s">
        <v>78</v>
      </c>
      <c r="L779" s="22" t="s">
        <v>78</v>
      </c>
      <c r="M779" s="23" t="s">
        <v>78</v>
      </c>
      <c r="N779" s="24" t="s">
        <v>78</v>
      </c>
      <c r="O779" s="24" t="s">
        <v>78</v>
      </c>
      <c r="P779" s="23">
        <f>IF(G779="غياب",VLOOKUP(C779,Employees!$A$3:$J$36,9,FALSE()),0)</f>
        <v>0</v>
      </c>
    </row>
    <row r="780" spans="1:16" ht="15" customHeight="1">
      <c r="A780" s="17" t="s">
        <v>103</v>
      </c>
      <c r="B780" s="19" t="s">
        <v>81</v>
      </c>
      <c r="C780" s="19" t="s">
        <v>46</v>
      </c>
      <c r="D780" s="19" t="str">
        <f>VLOOKUP(C780,Employees!A:J,2,0)</f>
        <v>ساميه محمد</v>
      </c>
      <c r="E780" s="20" t="s">
        <v>78</v>
      </c>
      <c r="F780" s="20" t="s">
        <v>78</v>
      </c>
      <c r="G780" s="21" t="s">
        <v>69</v>
      </c>
      <c r="H780" s="20" t="s">
        <v>78</v>
      </c>
      <c r="I780" s="20" t="s">
        <v>78</v>
      </c>
      <c r="J780" s="22" t="s">
        <v>78</v>
      </c>
      <c r="K780" s="47" t="s">
        <v>78</v>
      </c>
      <c r="L780" s="22" t="s">
        <v>78</v>
      </c>
      <c r="M780" s="23" t="s">
        <v>78</v>
      </c>
      <c r="N780" s="24" t="s">
        <v>78</v>
      </c>
      <c r="O780" s="25" t="s">
        <v>78</v>
      </c>
      <c r="P780" s="23">
        <f>IF(G780="غياب",VLOOKUP(C780,Employees!$A$3:$J$36,9,FALSE()),0)</f>
        <v>0</v>
      </c>
    </row>
    <row r="781" spans="1:16" ht="15" customHeight="1">
      <c r="A781" s="17" t="s">
        <v>104</v>
      </c>
      <c r="B781" s="19" t="s">
        <v>83</v>
      </c>
      <c r="C781" s="19" t="s">
        <v>46</v>
      </c>
      <c r="D781" s="19" t="str">
        <f>VLOOKUP(C781,Employees!A:J,2,0)</f>
        <v>ساميه محمد</v>
      </c>
      <c r="E781" s="20" t="s">
        <v>78</v>
      </c>
      <c r="F781" s="20" t="s">
        <v>78</v>
      </c>
      <c r="G781" s="21" t="s">
        <v>69</v>
      </c>
      <c r="H781" s="20" t="s">
        <v>78</v>
      </c>
      <c r="I781" s="20" t="s">
        <v>78</v>
      </c>
      <c r="J781" s="22" t="s">
        <v>78</v>
      </c>
      <c r="K781" s="47" t="s">
        <v>78</v>
      </c>
      <c r="L781" s="22" t="s">
        <v>78</v>
      </c>
      <c r="M781" s="23" t="s">
        <v>78</v>
      </c>
      <c r="N781" s="24" t="s">
        <v>78</v>
      </c>
      <c r="O781" s="25" t="s">
        <v>78</v>
      </c>
      <c r="P781" s="23">
        <f>IF(G781="غياب",VLOOKUP(C781,Employees!$A$3:$J$36,9,FALSE()),0)</f>
        <v>0</v>
      </c>
    </row>
    <row r="782" spans="1:16" ht="15" customHeight="1">
      <c r="A782" s="17" t="s">
        <v>105</v>
      </c>
      <c r="B782" s="19" t="s">
        <v>68</v>
      </c>
      <c r="C782" s="19" t="s">
        <v>46</v>
      </c>
      <c r="D782" s="19" t="str">
        <f>VLOOKUP(C782,Employees!A:J,2,0)</f>
        <v>ساميه محمد</v>
      </c>
      <c r="E782" s="20" t="s">
        <v>78</v>
      </c>
      <c r="F782" s="20" t="s">
        <v>78</v>
      </c>
      <c r="G782" s="21" t="s">
        <v>69</v>
      </c>
      <c r="H782" s="20" t="s">
        <v>78</v>
      </c>
      <c r="I782" s="20" t="s">
        <v>78</v>
      </c>
      <c r="J782" s="22" t="s">
        <v>78</v>
      </c>
      <c r="K782" s="47" t="s">
        <v>78</v>
      </c>
      <c r="L782" s="22" t="s">
        <v>78</v>
      </c>
      <c r="M782" s="23" t="s">
        <v>78</v>
      </c>
      <c r="N782" s="24" t="s">
        <v>78</v>
      </c>
      <c r="O782" s="25" t="s">
        <v>78</v>
      </c>
      <c r="P782" s="23">
        <f>IF(G782="غياب",VLOOKUP(C782,Employees!$A$3:$J$36,9,FALSE()),0)</f>
        <v>0</v>
      </c>
    </row>
    <row r="783" spans="1:16" ht="15" customHeight="1">
      <c r="A783" s="17" t="s">
        <v>106</v>
      </c>
      <c r="B783" s="19" t="s">
        <v>71</v>
      </c>
      <c r="C783" s="19" t="s">
        <v>46</v>
      </c>
      <c r="D783" s="19" t="str">
        <f>VLOOKUP(C783,Employees!A:J,2,0)</f>
        <v>ساميه محمد</v>
      </c>
      <c r="E783" s="20" t="s">
        <v>78</v>
      </c>
      <c r="F783" s="20" t="s">
        <v>78</v>
      </c>
      <c r="G783" s="21" t="s">
        <v>69</v>
      </c>
      <c r="H783" s="20" t="s">
        <v>78</v>
      </c>
      <c r="I783" s="20" t="s">
        <v>78</v>
      </c>
      <c r="J783" s="22" t="s">
        <v>78</v>
      </c>
      <c r="K783" s="47" t="s">
        <v>78</v>
      </c>
      <c r="L783" s="22" t="s">
        <v>78</v>
      </c>
      <c r="M783" s="23" t="s">
        <v>78</v>
      </c>
      <c r="N783" s="24" t="s">
        <v>78</v>
      </c>
      <c r="O783" s="25" t="s">
        <v>78</v>
      </c>
      <c r="P783" s="23">
        <f>IF(G783="غياب",VLOOKUP(C783,Employees!$A$3:$J$36,9,FALSE()),0)</f>
        <v>0</v>
      </c>
    </row>
    <row r="784" spans="1:16" ht="15" customHeight="1">
      <c r="A784" s="17" t="s">
        <v>67</v>
      </c>
      <c r="B784" s="19" t="s">
        <v>68</v>
      </c>
      <c r="C784" s="19" t="s">
        <v>47</v>
      </c>
      <c r="D784" s="19" t="str">
        <f>VLOOKUP(C784,Employees!A:J,2,0)</f>
        <v>غادة منير</v>
      </c>
      <c r="E784" s="20" t="s">
        <v>78</v>
      </c>
      <c r="F784" s="20" t="s">
        <v>78</v>
      </c>
      <c r="G784" s="21" t="s">
        <v>69</v>
      </c>
      <c r="H784" s="20" t="s">
        <v>78</v>
      </c>
      <c r="I784" s="20" t="s">
        <v>78</v>
      </c>
      <c r="J784" s="22" t="s">
        <v>78</v>
      </c>
      <c r="K784" s="47" t="s">
        <v>78</v>
      </c>
      <c r="L784" s="22" t="s">
        <v>78</v>
      </c>
      <c r="M784" s="23" t="s">
        <v>78</v>
      </c>
      <c r="N784" s="24" t="s">
        <v>78</v>
      </c>
      <c r="O784" s="25" t="s">
        <v>78</v>
      </c>
      <c r="P784" s="23">
        <f>IF(G784="غياب",VLOOKUP(C784,Employees!$A$3:$J$36,9,FALSE()),0)</f>
        <v>0</v>
      </c>
    </row>
    <row r="785" spans="1:16" ht="15" customHeight="1">
      <c r="A785" s="17" t="s">
        <v>70</v>
      </c>
      <c r="B785" s="19" t="s">
        <v>71</v>
      </c>
      <c r="C785" s="19" t="s">
        <v>47</v>
      </c>
      <c r="D785" s="19" t="str">
        <f>VLOOKUP(C785,Employees!A:J,2,0)</f>
        <v>غادة منير</v>
      </c>
      <c r="E785" s="20" t="s">
        <v>78</v>
      </c>
      <c r="F785" s="20" t="s">
        <v>78</v>
      </c>
      <c r="G785" s="21" t="s">
        <v>69</v>
      </c>
      <c r="H785" s="20" t="s">
        <v>78</v>
      </c>
      <c r="I785" s="20" t="s">
        <v>78</v>
      </c>
      <c r="J785" s="22" t="s">
        <v>78</v>
      </c>
      <c r="K785" s="47" t="s">
        <v>78</v>
      </c>
      <c r="L785" s="22" t="s">
        <v>78</v>
      </c>
      <c r="M785" s="23" t="s">
        <v>78</v>
      </c>
      <c r="N785" s="24" t="s">
        <v>78</v>
      </c>
      <c r="O785" s="25" t="s">
        <v>78</v>
      </c>
      <c r="P785" s="23">
        <f>IF(G785="غياب",VLOOKUP(C785,Employees!$A$3:$J$36,9,FALSE()),0)</f>
        <v>0</v>
      </c>
    </row>
    <row r="786" spans="1:16" ht="15" customHeight="1">
      <c r="A786" s="17" t="s">
        <v>72</v>
      </c>
      <c r="B786" s="19" t="s">
        <v>73</v>
      </c>
      <c r="C786" s="19" t="s">
        <v>47</v>
      </c>
      <c r="D786" s="19" t="str">
        <f>VLOOKUP(C786,Employees!A:J,2,0)</f>
        <v>غادة منير</v>
      </c>
      <c r="E786" s="20" t="s">
        <v>78</v>
      </c>
      <c r="F786" s="20" t="s">
        <v>78</v>
      </c>
      <c r="G786" s="21" t="s">
        <v>69</v>
      </c>
      <c r="H786" s="20" t="s">
        <v>78</v>
      </c>
      <c r="I786" s="20" t="s">
        <v>78</v>
      </c>
      <c r="J786" s="22" t="s">
        <v>78</v>
      </c>
      <c r="K786" s="47" t="s">
        <v>78</v>
      </c>
      <c r="L786" s="22" t="s">
        <v>78</v>
      </c>
      <c r="M786" s="23" t="s">
        <v>78</v>
      </c>
      <c r="N786" s="24" t="s">
        <v>78</v>
      </c>
      <c r="O786" s="25" t="s">
        <v>78</v>
      </c>
      <c r="P786" s="23">
        <f>IF(G786="غياب",VLOOKUP(C786,Employees!$A$3:$J$36,9,FALSE()),0)</f>
        <v>0</v>
      </c>
    </row>
    <row r="787" spans="1:16" ht="15" customHeight="1">
      <c r="A787" s="17" t="s">
        <v>74</v>
      </c>
      <c r="B787" s="19" t="s">
        <v>75</v>
      </c>
      <c r="C787" s="19" t="s">
        <v>47</v>
      </c>
      <c r="D787" s="19" t="str">
        <f>VLOOKUP(C787,Employees!A:J,2,0)</f>
        <v>غادة منير</v>
      </c>
      <c r="E787" s="20" t="s">
        <v>78</v>
      </c>
      <c r="F787" s="20" t="s">
        <v>78</v>
      </c>
      <c r="G787" s="21" t="s">
        <v>69</v>
      </c>
      <c r="H787" s="20" t="s">
        <v>78</v>
      </c>
      <c r="I787" s="20" t="s">
        <v>78</v>
      </c>
      <c r="J787" s="22" t="s">
        <v>78</v>
      </c>
      <c r="K787" s="47" t="s">
        <v>78</v>
      </c>
      <c r="L787" s="22" t="s">
        <v>78</v>
      </c>
      <c r="M787" s="23" t="s">
        <v>78</v>
      </c>
      <c r="N787" s="24" t="s">
        <v>78</v>
      </c>
      <c r="O787" s="25" t="s">
        <v>78</v>
      </c>
      <c r="P787" s="23">
        <f>IF(G787="غياب",VLOOKUP(C787,Employees!$A$3:$J$36,9,FALSE()),0)</f>
        <v>0</v>
      </c>
    </row>
    <row r="788" spans="1:16" ht="15" customHeight="1">
      <c r="A788" s="26" t="s">
        <v>76</v>
      </c>
      <c r="B788" s="28" t="s">
        <v>77</v>
      </c>
      <c r="C788" s="28" t="s">
        <v>47</v>
      </c>
      <c r="D788" s="28" t="str">
        <f>VLOOKUP(C788,Employees!A:J,2,0)</f>
        <v>غادة منير</v>
      </c>
      <c r="E788" s="29" t="s">
        <v>78</v>
      </c>
      <c r="F788" s="29" t="s">
        <v>78</v>
      </c>
      <c r="G788" s="27" t="s">
        <v>79</v>
      </c>
      <c r="H788" s="29" t="s">
        <v>78</v>
      </c>
      <c r="I788" s="29" t="s">
        <v>78</v>
      </c>
      <c r="J788" s="22" t="s">
        <v>78</v>
      </c>
      <c r="K788" s="47" t="s">
        <v>78</v>
      </c>
      <c r="L788" s="22" t="s">
        <v>78</v>
      </c>
      <c r="M788" s="23" t="s">
        <v>78</v>
      </c>
      <c r="N788" s="24" t="s">
        <v>78</v>
      </c>
      <c r="O788" s="24" t="s">
        <v>78</v>
      </c>
      <c r="P788" s="23">
        <f>IF(G788="غياب",VLOOKUP(C788,Employees!$A$3:$J$36,9,FALSE()),0)</f>
        <v>0</v>
      </c>
    </row>
    <row r="789" spans="1:16" ht="15" customHeight="1">
      <c r="A789" s="17" t="s">
        <v>80</v>
      </c>
      <c r="B789" s="19" t="s">
        <v>81</v>
      </c>
      <c r="C789" s="19" t="s">
        <v>47</v>
      </c>
      <c r="D789" s="19" t="str">
        <f>VLOOKUP(C789,Employees!A:J,2,0)</f>
        <v>غادة منير</v>
      </c>
      <c r="E789" s="20" t="s">
        <v>78</v>
      </c>
      <c r="F789" s="20" t="s">
        <v>78</v>
      </c>
      <c r="G789" s="21" t="s">
        <v>69</v>
      </c>
      <c r="H789" s="20" t="s">
        <v>78</v>
      </c>
      <c r="I789" s="20" t="s">
        <v>78</v>
      </c>
      <c r="J789" s="22" t="s">
        <v>78</v>
      </c>
      <c r="K789" s="47" t="s">
        <v>78</v>
      </c>
      <c r="L789" s="22" t="s">
        <v>78</v>
      </c>
      <c r="M789" s="23" t="s">
        <v>78</v>
      </c>
      <c r="N789" s="24" t="s">
        <v>78</v>
      </c>
      <c r="O789" s="25" t="s">
        <v>78</v>
      </c>
      <c r="P789" s="23">
        <f>IF(G789="غياب",VLOOKUP(C789,Employees!$A$3:$J$36,9,FALSE()),0)</f>
        <v>0</v>
      </c>
    </row>
    <row r="790" spans="1:16" ht="15" customHeight="1">
      <c r="A790" s="17" t="s">
        <v>82</v>
      </c>
      <c r="B790" s="19" t="s">
        <v>83</v>
      </c>
      <c r="C790" s="19" t="s">
        <v>47</v>
      </c>
      <c r="D790" s="19" t="str">
        <f>VLOOKUP(C790,Employees!A:J,2,0)</f>
        <v>غادة منير</v>
      </c>
      <c r="E790" s="20" t="s">
        <v>78</v>
      </c>
      <c r="F790" s="20" t="s">
        <v>78</v>
      </c>
      <c r="G790" s="21" t="s">
        <v>69</v>
      </c>
      <c r="H790" s="20" t="s">
        <v>78</v>
      </c>
      <c r="I790" s="20" t="s">
        <v>78</v>
      </c>
      <c r="J790" s="22" t="s">
        <v>78</v>
      </c>
      <c r="K790" s="47" t="s">
        <v>78</v>
      </c>
      <c r="L790" s="22" t="s">
        <v>78</v>
      </c>
      <c r="M790" s="23" t="s">
        <v>78</v>
      </c>
      <c r="N790" s="24" t="s">
        <v>78</v>
      </c>
      <c r="O790" s="25" t="s">
        <v>78</v>
      </c>
      <c r="P790" s="23">
        <f>IF(G790="غياب",VLOOKUP(C790,Employees!$A$3:$J$36,9,FALSE()),0)</f>
        <v>0</v>
      </c>
    </row>
    <row r="791" spans="1:16" ht="15" customHeight="1">
      <c r="A791" s="17" t="s">
        <v>84</v>
      </c>
      <c r="B791" s="19" t="s">
        <v>68</v>
      </c>
      <c r="C791" s="19" t="s">
        <v>47</v>
      </c>
      <c r="D791" s="19" t="str">
        <f>VLOOKUP(C791,Employees!A:J,2,0)</f>
        <v>غادة منير</v>
      </c>
      <c r="E791" s="20" t="s">
        <v>78</v>
      </c>
      <c r="F791" s="20" t="s">
        <v>78</v>
      </c>
      <c r="G791" s="21" t="s">
        <v>69</v>
      </c>
      <c r="H791" s="20" t="s">
        <v>78</v>
      </c>
      <c r="I791" s="20" t="s">
        <v>78</v>
      </c>
      <c r="J791" s="22" t="s">
        <v>78</v>
      </c>
      <c r="K791" s="47" t="s">
        <v>78</v>
      </c>
      <c r="L791" s="22" t="s">
        <v>78</v>
      </c>
      <c r="M791" s="23" t="s">
        <v>78</v>
      </c>
      <c r="N791" s="24" t="s">
        <v>78</v>
      </c>
      <c r="O791" s="25" t="s">
        <v>78</v>
      </c>
      <c r="P791" s="23">
        <f>IF(G791="غياب",VLOOKUP(C791,Employees!$A$3:$J$36,9,FALSE()),0)</f>
        <v>0</v>
      </c>
    </row>
    <row r="792" spans="1:16" ht="15" customHeight="1">
      <c r="A792" s="17" t="s">
        <v>85</v>
      </c>
      <c r="B792" s="19" t="s">
        <v>71</v>
      </c>
      <c r="C792" s="19" t="s">
        <v>47</v>
      </c>
      <c r="D792" s="19" t="str">
        <f>VLOOKUP(C792,Employees!A:J,2,0)</f>
        <v>غادة منير</v>
      </c>
      <c r="E792" s="20" t="s">
        <v>78</v>
      </c>
      <c r="F792" s="20" t="s">
        <v>78</v>
      </c>
      <c r="G792" s="21" t="s">
        <v>69</v>
      </c>
      <c r="H792" s="20" t="s">
        <v>78</v>
      </c>
      <c r="I792" s="20" t="s">
        <v>78</v>
      </c>
      <c r="J792" s="22" t="s">
        <v>78</v>
      </c>
      <c r="K792" s="47" t="s">
        <v>78</v>
      </c>
      <c r="L792" s="22" t="s">
        <v>78</v>
      </c>
      <c r="M792" s="23" t="s">
        <v>78</v>
      </c>
      <c r="N792" s="24" t="s">
        <v>78</v>
      </c>
      <c r="O792" s="25" t="s">
        <v>78</v>
      </c>
      <c r="P792" s="23">
        <f>IF(G792="غياب",VLOOKUP(C792,Employees!$A$3:$J$36,9,FALSE()),0)</f>
        <v>0</v>
      </c>
    </row>
    <row r="793" spans="1:16" ht="15" customHeight="1">
      <c r="A793" s="17" t="s">
        <v>86</v>
      </c>
      <c r="B793" s="19" t="s">
        <v>73</v>
      </c>
      <c r="C793" s="19" t="s">
        <v>47</v>
      </c>
      <c r="D793" s="19" t="str">
        <f>VLOOKUP(C793,Employees!A:J,2,0)</f>
        <v>غادة منير</v>
      </c>
      <c r="E793" s="20" t="s">
        <v>78</v>
      </c>
      <c r="F793" s="20" t="s">
        <v>78</v>
      </c>
      <c r="G793" s="21" t="s">
        <v>69</v>
      </c>
      <c r="H793" s="20" t="s">
        <v>78</v>
      </c>
      <c r="I793" s="20" t="s">
        <v>78</v>
      </c>
      <c r="J793" s="22" t="s">
        <v>78</v>
      </c>
      <c r="K793" s="47" t="s">
        <v>78</v>
      </c>
      <c r="L793" s="22" t="s">
        <v>78</v>
      </c>
      <c r="M793" s="23" t="s">
        <v>78</v>
      </c>
      <c r="N793" s="24" t="s">
        <v>78</v>
      </c>
      <c r="O793" s="25" t="s">
        <v>78</v>
      </c>
      <c r="P793" s="23">
        <f>IF(G793="غياب",VLOOKUP(C793,Employees!$A$3:$J$36,9,FALSE()),0)</f>
        <v>0</v>
      </c>
    </row>
    <row r="794" spans="1:16" ht="15" customHeight="1">
      <c r="A794" s="17" t="s">
        <v>87</v>
      </c>
      <c r="B794" s="19" t="s">
        <v>75</v>
      </c>
      <c r="C794" s="19" t="s">
        <v>47</v>
      </c>
      <c r="D794" s="19" t="str">
        <f>VLOOKUP(C794,Employees!A:J,2,0)</f>
        <v>غادة منير</v>
      </c>
      <c r="E794" s="20" t="s">
        <v>78</v>
      </c>
      <c r="F794" s="20" t="s">
        <v>78</v>
      </c>
      <c r="G794" s="21" t="s">
        <v>69</v>
      </c>
      <c r="H794" s="20" t="s">
        <v>78</v>
      </c>
      <c r="I794" s="20" t="s">
        <v>78</v>
      </c>
      <c r="J794" s="22" t="s">
        <v>78</v>
      </c>
      <c r="K794" s="47" t="s">
        <v>78</v>
      </c>
      <c r="L794" s="22" t="s">
        <v>78</v>
      </c>
      <c r="M794" s="23" t="s">
        <v>78</v>
      </c>
      <c r="N794" s="24" t="s">
        <v>78</v>
      </c>
      <c r="O794" s="25" t="s">
        <v>78</v>
      </c>
      <c r="P794" s="23">
        <f>IF(G794="غياب",VLOOKUP(C794,Employees!$A$3:$J$36,9,FALSE()),0)</f>
        <v>0</v>
      </c>
    </row>
    <row r="795" spans="1:16" ht="15" customHeight="1">
      <c r="A795" s="26" t="s">
        <v>88</v>
      </c>
      <c r="B795" s="28" t="s">
        <v>77</v>
      </c>
      <c r="C795" s="28" t="s">
        <v>47</v>
      </c>
      <c r="D795" s="28" t="str">
        <f>VLOOKUP(C795,Employees!A:J,2,0)</f>
        <v>غادة منير</v>
      </c>
      <c r="E795" s="29" t="s">
        <v>78</v>
      </c>
      <c r="F795" s="29" t="s">
        <v>78</v>
      </c>
      <c r="G795" s="27" t="s">
        <v>79</v>
      </c>
      <c r="H795" s="29" t="s">
        <v>78</v>
      </c>
      <c r="I795" s="29" t="s">
        <v>78</v>
      </c>
      <c r="J795" s="22" t="s">
        <v>78</v>
      </c>
      <c r="K795" s="47" t="s">
        <v>78</v>
      </c>
      <c r="L795" s="22" t="s">
        <v>78</v>
      </c>
      <c r="M795" s="23" t="s">
        <v>78</v>
      </c>
      <c r="N795" s="24" t="s">
        <v>78</v>
      </c>
      <c r="O795" s="24" t="s">
        <v>78</v>
      </c>
      <c r="P795" s="23">
        <f>IF(G795="غياب",VLOOKUP(C795,Employees!$A$3:$J$36,9,FALSE()),0)</f>
        <v>0</v>
      </c>
    </row>
    <row r="796" spans="1:16" ht="15" customHeight="1">
      <c r="A796" s="26" t="s">
        <v>89</v>
      </c>
      <c r="B796" s="28" t="s">
        <v>81</v>
      </c>
      <c r="C796" s="28" t="s">
        <v>47</v>
      </c>
      <c r="D796" s="28" t="str">
        <f>VLOOKUP(C796,Employees!A:J,2,0)</f>
        <v>غادة منير</v>
      </c>
      <c r="E796" s="29" t="s">
        <v>78</v>
      </c>
      <c r="F796" s="29" t="s">
        <v>78</v>
      </c>
      <c r="G796" s="27" t="s">
        <v>79</v>
      </c>
      <c r="H796" s="29" t="s">
        <v>78</v>
      </c>
      <c r="I796" s="29" t="s">
        <v>78</v>
      </c>
      <c r="J796" s="22" t="s">
        <v>78</v>
      </c>
      <c r="K796" s="47" t="s">
        <v>78</v>
      </c>
      <c r="L796" s="22" t="s">
        <v>78</v>
      </c>
      <c r="M796" s="23" t="s">
        <v>78</v>
      </c>
      <c r="N796" s="24" t="s">
        <v>78</v>
      </c>
      <c r="O796" s="24" t="s">
        <v>78</v>
      </c>
      <c r="P796" s="23">
        <f>IF(G796="غياب",VLOOKUP(C796,Employees!$A$3:$J$36,9,FALSE()),0)</f>
        <v>0</v>
      </c>
    </row>
    <row r="797" spans="1:16" ht="15" customHeight="1">
      <c r="A797" s="17" t="s">
        <v>90</v>
      </c>
      <c r="B797" s="19" t="s">
        <v>83</v>
      </c>
      <c r="C797" s="19" t="s">
        <v>47</v>
      </c>
      <c r="D797" s="19" t="str">
        <f>VLOOKUP(C797,Employees!A:J,2,0)</f>
        <v>غادة منير</v>
      </c>
      <c r="E797" s="20" t="s">
        <v>78</v>
      </c>
      <c r="F797" s="20" t="s">
        <v>78</v>
      </c>
      <c r="G797" s="21" t="s">
        <v>69</v>
      </c>
      <c r="H797" s="20" t="s">
        <v>78</v>
      </c>
      <c r="I797" s="20" t="s">
        <v>78</v>
      </c>
      <c r="J797" s="22" t="s">
        <v>78</v>
      </c>
      <c r="K797" s="47" t="s">
        <v>78</v>
      </c>
      <c r="L797" s="22" t="s">
        <v>78</v>
      </c>
      <c r="M797" s="23" t="s">
        <v>78</v>
      </c>
      <c r="N797" s="24" t="s">
        <v>78</v>
      </c>
      <c r="O797" s="25" t="s">
        <v>78</v>
      </c>
      <c r="P797" s="23">
        <f>IF(G797="غياب",VLOOKUP(C797,Employees!$A$3:$J$36,9,FALSE()),0)</f>
        <v>0</v>
      </c>
    </row>
    <row r="798" spans="1:16" ht="15" customHeight="1">
      <c r="A798" s="17" t="s">
        <v>91</v>
      </c>
      <c r="B798" s="19" t="s">
        <v>68</v>
      </c>
      <c r="C798" s="19" t="s">
        <v>47</v>
      </c>
      <c r="D798" s="19" t="str">
        <f>VLOOKUP(C798,Employees!A:J,2,0)</f>
        <v>غادة منير</v>
      </c>
      <c r="E798" s="20" t="s">
        <v>78</v>
      </c>
      <c r="F798" s="20" t="s">
        <v>78</v>
      </c>
      <c r="G798" s="21" t="s">
        <v>69</v>
      </c>
      <c r="H798" s="20" t="s">
        <v>78</v>
      </c>
      <c r="I798" s="20" t="s">
        <v>78</v>
      </c>
      <c r="J798" s="22" t="s">
        <v>78</v>
      </c>
      <c r="K798" s="47" t="s">
        <v>78</v>
      </c>
      <c r="L798" s="22" t="s">
        <v>78</v>
      </c>
      <c r="M798" s="23" t="s">
        <v>78</v>
      </c>
      <c r="N798" s="24" t="s">
        <v>78</v>
      </c>
      <c r="O798" s="25" t="s">
        <v>78</v>
      </c>
      <c r="P798" s="23">
        <f>IF(G798="غياب",VLOOKUP(C798,Employees!$A$3:$J$36,9,FALSE()),0)</f>
        <v>0</v>
      </c>
    </row>
    <row r="799" spans="1:16" ht="15" customHeight="1">
      <c r="A799" s="17" t="s">
        <v>92</v>
      </c>
      <c r="B799" s="19" t="s">
        <v>71</v>
      </c>
      <c r="C799" s="19" t="s">
        <v>47</v>
      </c>
      <c r="D799" s="19" t="str">
        <f>VLOOKUP(C799,Employees!A:J,2,0)</f>
        <v>غادة منير</v>
      </c>
      <c r="E799" s="20" t="s">
        <v>78</v>
      </c>
      <c r="F799" s="20" t="s">
        <v>78</v>
      </c>
      <c r="G799" s="21" t="s">
        <v>69</v>
      </c>
      <c r="H799" s="20" t="s">
        <v>78</v>
      </c>
      <c r="I799" s="20" t="s">
        <v>78</v>
      </c>
      <c r="J799" s="22" t="s">
        <v>78</v>
      </c>
      <c r="K799" s="47" t="s">
        <v>78</v>
      </c>
      <c r="L799" s="22" t="s">
        <v>78</v>
      </c>
      <c r="M799" s="23" t="s">
        <v>78</v>
      </c>
      <c r="N799" s="24" t="s">
        <v>78</v>
      </c>
      <c r="O799" s="25" t="s">
        <v>78</v>
      </c>
      <c r="P799" s="23">
        <f>IF(G799="غياب",VLOOKUP(C799,Employees!$A$3:$J$36,9,FALSE()),0)</f>
        <v>0</v>
      </c>
    </row>
    <row r="800" spans="1:16" ht="15" customHeight="1">
      <c r="A800" s="17" t="s">
        <v>93</v>
      </c>
      <c r="B800" s="19" t="s">
        <v>73</v>
      </c>
      <c r="C800" s="19" t="s">
        <v>47</v>
      </c>
      <c r="D800" s="19" t="str">
        <f>VLOOKUP(C800,Employees!A:J,2,0)</f>
        <v>غادة منير</v>
      </c>
      <c r="E800" s="20" t="s">
        <v>78</v>
      </c>
      <c r="F800" s="20" t="s">
        <v>78</v>
      </c>
      <c r="G800" s="21" t="s">
        <v>69</v>
      </c>
      <c r="H800" s="20" t="s">
        <v>78</v>
      </c>
      <c r="I800" s="20" t="s">
        <v>78</v>
      </c>
      <c r="J800" s="22" t="s">
        <v>78</v>
      </c>
      <c r="K800" s="47" t="s">
        <v>78</v>
      </c>
      <c r="L800" s="22" t="s">
        <v>78</v>
      </c>
      <c r="M800" s="23" t="s">
        <v>78</v>
      </c>
      <c r="N800" s="24" t="s">
        <v>78</v>
      </c>
      <c r="O800" s="25" t="s">
        <v>78</v>
      </c>
      <c r="P800" s="23">
        <f>IF(G800="غياب",VLOOKUP(C800,Employees!$A$3:$J$36,9,FALSE()),0)</f>
        <v>0</v>
      </c>
    </row>
    <row r="801" spans="1:16" ht="15" customHeight="1">
      <c r="A801" s="17" t="s">
        <v>94</v>
      </c>
      <c r="B801" s="19" t="s">
        <v>75</v>
      </c>
      <c r="C801" s="19" t="s">
        <v>47</v>
      </c>
      <c r="D801" s="19" t="str">
        <f>VLOOKUP(C801,Employees!A:J,2,0)</f>
        <v>غادة منير</v>
      </c>
      <c r="E801" s="20" t="s">
        <v>78</v>
      </c>
      <c r="F801" s="20" t="s">
        <v>78</v>
      </c>
      <c r="G801" s="21" t="s">
        <v>69</v>
      </c>
      <c r="H801" s="20" t="s">
        <v>78</v>
      </c>
      <c r="I801" s="20" t="s">
        <v>78</v>
      </c>
      <c r="J801" s="22" t="s">
        <v>78</v>
      </c>
      <c r="K801" s="47" t="s">
        <v>78</v>
      </c>
      <c r="L801" s="22" t="s">
        <v>78</v>
      </c>
      <c r="M801" s="23" t="s">
        <v>78</v>
      </c>
      <c r="N801" s="24" t="s">
        <v>78</v>
      </c>
      <c r="O801" s="25" t="s">
        <v>78</v>
      </c>
      <c r="P801" s="23">
        <f>IF(G801="غياب",VLOOKUP(C801,Employees!$A$3:$J$36,9,FALSE()),0)</f>
        <v>0</v>
      </c>
    </row>
    <row r="802" spans="1:16" ht="15" customHeight="1">
      <c r="A802" s="26" t="s">
        <v>95</v>
      </c>
      <c r="B802" s="28" t="s">
        <v>77</v>
      </c>
      <c r="C802" s="28" t="s">
        <v>47</v>
      </c>
      <c r="D802" s="28" t="str">
        <f>VLOOKUP(C802,Employees!A:J,2,0)</f>
        <v>غادة منير</v>
      </c>
      <c r="E802" s="29" t="s">
        <v>78</v>
      </c>
      <c r="F802" s="29" t="s">
        <v>78</v>
      </c>
      <c r="G802" s="27" t="s">
        <v>79</v>
      </c>
      <c r="H802" s="29" t="s">
        <v>78</v>
      </c>
      <c r="I802" s="29" t="s">
        <v>78</v>
      </c>
      <c r="J802" s="22" t="s">
        <v>78</v>
      </c>
      <c r="K802" s="47" t="s">
        <v>78</v>
      </c>
      <c r="L802" s="22" t="s">
        <v>78</v>
      </c>
      <c r="M802" s="23" t="s">
        <v>78</v>
      </c>
      <c r="N802" s="24" t="s">
        <v>78</v>
      </c>
      <c r="O802" s="24" t="s">
        <v>78</v>
      </c>
      <c r="P802" s="23">
        <f>IF(G802="غياب",VLOOKUP(C802,Employees!$A$3:$J$36,9,FALSE()),0)</f>
        <v>0</v>
      </c>
    </row>
    <row r="803" spans="1:16" ht="15" customHeight="1">
      <c r="A803" s="17" t="s">
        <v>96</v>
      </c>
      <c r="B803" s="19" t="s">
        <v>81</v>
      </c>
      <c r="C803" s="19" t="s">
        <v>47</v>
      </c>
      <c r="D803" s="19" t="str">
        <f>VLOOKUP(C803,Employees!A:J,2,0)</f>
        <v>غادة منير</v>
      </c>
      <c r="E803" s="20" t="s">
        <v>78</v>
      </c>
      <c r="F803" s="20" t="s">
        <v>78</v>
      </c>
      <c r="G803" s="21" t="s">
        <v>69</v>
      </c>
      <c r="H803" s="20" t="s">
        <v>78</v>
      </c>
      <c r="I803" s="20" t="s">
        <v>78</v>
      </c>
      <c r="J803" s="22" t="s">
        <v>78</v>
      </c>
      <c r="K803" s="47" t="s">
        <v>78</v>
      </c>
      <c r="L803" s="22" t="s">
        <v>78</v>
      </c>
      <c r="M803" s="23" t="s">
        <v>78</v>
      </c>
      <c r="N803" s="24" t="s">
        <v>78</v>
      </c>
      <c r="O803" s="25" t="s">
        <v>78</v>
      </c>
      <c r="P803" s="23">
        <f>IF(G803="غياب",VLOOKUP(C803,Employees!$A$3:$J$36,9,FALSE()),0)</f>
        <v>0</v>
      </c>
    </row>
    <row r="804" spans="1:16" ht="15" customHeight="1">
      <c r="A804" s="17" t="s">
        <v>97</v>
      </c>
      <c r="B804" s="19" t="s">
        <v>83</v>
      </c>
      <c r="C804" s="19" t="s">
        <v>47</v>
      </c>
      <c r="D804" s="19" t="str">
        <f>VLOOKUP(C804,Employees!A:J,2,0)</f>
        <v>غادة منير</v>
      </c>
      <c r="E804" s="20" t="s">
        <v>78</v>
      </c>
      <c r="F804" s="20" t="s">
        <v>78</v>
      </c>
      <c r="G804" s="21" t="s">
        <v>69</v>
      </c>
      <c r="H804" s="20" t="s">
        <v>78</v>
      </c>
      <c r="I804" s="20" t="s">
        <v>78</v>
      </c>
      <c r="J804" s="22" t="s">
        <v>78</v>
      </c>
      <c r="K804" s="47" t="s">
        <v>78</v>
      </c>
      <c r="L804" s="22" t="s">
        <v>78</v>
      </c>
      <c r="M804" s="23" t="s">
        <v>78</v>
      </c>
      <c r="N804" s="24" t="s">
        <v>78</v>
      </c>
      <c r="O804" s="25" t="s">
        <v>78</v>
      </c>
      <c r="P804" s="23">
        <f>IF(G804="غياب",VLOOKUP(C804,Employees!$A$3:$J$36,9,FALSE()),0)</f>
        <v>0</v>
      </c>
    </row>
    <row r="805" spans="1:16" ht="15" customHeight="1">
      <c r="A805" s="17" t="s">
        <v>98</v>
      </c>
      <c r="B805" s="19" t="s">
        <v>68</v>
      </c>
      <c r="C805" s="19" t="s">
        <v>47</v>
      </c>
      <c r="D805" s="19" t="str">
        <f>VLOOKUP(C805,Employees!A:J,2,0)</f>
        <v>غادة منير</v>
      </c>
      <c r="E805" s="20" t="s">
        <v>78</v>
      </c>
      <c r="F805" s="20" t="s">
        <v>78</v>
      </c>
      <c r="G805" s="21" t="s">
        <v>69</v>
      </c>
      <c r="H805" s="20" t="s">
        <v>78</v>
      </c>
      <c r="I805" s="20" t="s">
        <v>78</v>
      </c>
      <c r="J805" s="22" t="s">
        <v>78</v>
      </c>
      <c r="K805" s="47" t="s">
        <v>78</v>
      </c>
      <c r="L805" s="22" t="s">
        <v>78</v>
      </c>
      <c r="M805" s="23" t="s">
        <v>78</v>
      </c>
      <c r="N805" s="24" t="s">
        <v>78</v>
      </c>
      <c r="O805" s="25" t="s">
        <v>78</v>
      </c>
      <c r="P805" s="23">
        <f>IF(G805="غياب",VLOOKUP(C805,Employees!$A$3:$J$36,9,FALSE()),0)</f>
        <v>0</v>
      </c>
    </row>
    <row r="806" spans="1:16" ht="15" customHeight="1">
      <c r="A806" s="17" t="s">
        <v>99</v>
      </c>
      <c r="B806" s="19" t="s">
        <v>71</v>
      </c>
      <c r="C806" s="19" t="s">
        <v>47</v>
      </c>
      <c r="D806" s="19" t="str">
        <f>VLOOKUP(C806,Employees!A:J,2,0)</f>
        <v>غادة منير</v>
      </c>
      <c r="E806" s="20" t="s">
        <v>78</v>
      </c>
      <c r="F806" s="20" t="s">
        <v>78</v>
      </c>
      <c r="G806" s="21" t="s">
        <v>69</v>
      </c>
      <c r="H806" s="20" t="s">
        <v>78</v>
      </c>
      <c r="I806" s="20" t="s">
        <v>78</v>
      </c>
      <c r="J806" s="22" t="s">
        <v>78</v>
      </c>
      <c r="K806" s="47" t="s">
        <v>78</v>
      </c>
      <c r="L806" s="22" t="s">
        <v>78</v>
      </c>
      <c r="M806" s="23" t="s">
        <v>78</v>
      </c>
      <c r="N806" s="24" t="s">
        <v>78</v>
      </c>
      <c r="O806" s="25" t="s">
        <v>78</v>
      </c>
      <c r="P806" s="23">
        <f>IF(G806="غياب",VLOOKUP(C806,Employees!$A$3:$J$36,9,FALSE()),0)</f>
        <v>0</v>
      </c>
    </row>
    <row r="807" spans="1:16" ht="15" customHeight="1">
      <c r="A807" s="17" t="s">
        <v>100</v>
      </c>
      <c r="B807" s="19" t="s">
        <v>73</v>
      </c>
      <c r="C807" s="19" t="s">
        <v>47</v>
      </c>
      <c r="D807" s="19" t="str">
        <f>VLOOKUP(C807,Employees!A:J,2,0)</f>
        <v>غادة منير</v>
      </c>
      <c r="E807" s="20" t="s">
        <v>78</v>
      </c>
      <c r="F807" s="20" t="s">
        <v>78</v>
      </c>
      <c r="G807" s="21" t="s">
        <v>69</v>
      </c>
      <c r="H807" s="20" t="s">
        <v>78</v>
      </c>
      <c r="I807" s="20" t="s">
        <v>78</v>
      </c>
      <c r="J807" s="22" t="s">
        <v>78</v>
      </c>
      <c r="K807" s="47" t="s">
        <v>78</v>
      </c>
      <c r="L807" s="22" t="s">
        <v>78</v>
      </c>
      <c r="M807" s="23" t="s">
        <v>78</v>
      </c>
      <c r="N807" s="24" t="s">
        <v>78</v>
      </c>
      <c r="O807" s="25" t="s">
        <v>78</v>
      </c>
      <c r="P807" s="23">
        <f>IF(G807="غياب",VLOOKUP(C807,Employees!$A$3:$J$36,9,FALSE()),0)</f>
        <v>0</v>
      </c>
    </row>
    <row r="808" spans="1:16" ht="15" customHeight="1">
      <c r="A808" s="17" t="s">
        <v>101</v>
      </c>
      <c r="B808" s="19" t="s">
        <v>75</v>
      </c>
      <c r="C808" s="19" t="s">
        <v>47</v>
      </c>
      <c r="D808" s="19" t="str">
        <f>VLOOKUP(C808,Employees!A:J,2,0)</f>
        <v>غادة منير</v>
      </c>
      <c r="E808" s="20" t="s">
        <v>78</v>
      </c>
      <c r="F808" s="20" t="s">
        <v>78</v>
      </c>
      <c r="G808" s="21" t="s">
        <v>69</v>
      </c>
      <c r="H808" s="30" t="s">
        <v>78</v>
      </c>
      <c r="I808" s="20" t="s">
        <v>78</v>
      </c>
      <c r="J808" s="22" t="s">
        <v>78</v>
      </c>
      <c r="K808" s="47" t="s">
        <v>78</v>
      </c>
      <c r="L808" s="22" t="s">
        <v>78</v>
      </c>
      <c r="M808" s="23" t="s">
        <v>78</v>
      </c>
      <c r="N808" s="24" t="s">
        <v>78</v>
      </c>
      <c r="O808" s="25" t="s">
        <v>78</v>
      </c>
      <c r="P808" s="23">
        <f>IF(G808="غياب",VLOOKUP(C808,Employees!$A$3:$J$36,9,FALSE()),0)</f>
        <v>0</v>
      </c>
    </row>
    <row r="809" spans="1:16" ht="15" customHeight="1">
      <c r="A809" s="26" t="s">
        <v>102</v>
      </c>
      <c r="B809" s="28" t="s">
        <v>77</v>
      </c>
      <c r="C809" s="28" t="s">
        <v>47</v>
      </c>
      <c r="D809" s="28" t="str">
        <f>VLOOKUP(C809,Employees!A:J,2,0)</f>
        <v>غادة منير</v>
      </c>
      <c r="E809" s="29" t="s">
        <v>78</v>
      </c>
      <c r="F809" s="29" t="s">
        <v>78</v>
      </c>
      <c r="G809" s="27" t="s">
        <v>79</v>
      </c>
      <c r="H809" s="29" t="s">
        <v>78</v>
      </c>
      <c r="I809" s="29" t="s">
        <v>78</v>
      </c>
      <c r="J809" s="22" t="s">
        <v>78</v>
      </c>
      <c r="K809" s="47" t="s">
        <v>78</v>
      </c>
      <c r="L809" s="22" t="s">
        <v>78</v>
      </c>
      <c r="M809" s="23" t="s">
        <v>78</v>
      </c>
      <c r="N809" s="24" t="s">
        <v>78</v>
      </c>
      <c r="O809" s="24" t="s">
        <v>78</v>
      </c>
      <c r="P809" s="23">
        <f>IF(G809="غياب",VLOOKUP(C809,Employees!$A$3:$J$36,9,FALSE()),0)</f>
        <v>0</v>
      </c>
    </row>
    <row r="810" spans="1:16" ht="15" customHeight="1">
      <c r="A810" s="17" t="s">
        <v>103</v>
      </c>
      <c r="B810" s="19" t="s">
        <v>81</v>
      </c>
      <c r="C810" s="19" t="s">
        <v>47</v>
      </c>
      <c r="D810" s="19" t="str">
        <f>VLOOKUP(C810,Employees!A:J,2,0)</f>
        <v>غادة منير</v>
      </c>
      <c r="E810" s="20" t="s">
        <v>78</v>
      </c>
      <c r="F810" s="20" t="s">
        <v>78</v>
      </c>
      <c r="G810" s="21" t="s">
        <v>69</v>
      </c>
      <c r="H810" s="30" t="s">
        <v>78</v>
      </c>
      <c r="I810" s="20" t="s">
        <v>78</v>
      </c>
      <c r="J810" s="22" t="s">
        <v>78</v>
      </c>
      <c r="K810" s="47" t="s">
        <v>78</v>
      </c>
      <c r="L810" s="22" t="s">
        <v>78</v>
      </c>
      <c r="M810" s="23" t="s">
        <v>78</v>
      </c>
      <c r="N810" s="24" t="s">
        <v>78</v>
      </c>
      <c r="O810" s="25" t="s">
        <v>78</v>
      </c>
      <c r="P810" s="23">
        <f>IF(G810="غياب",VLOOKUP(C810,Employees!$A$3:$J$36,9,FALSE()),0)</f>
        <v>0</v>
      </c>
    </row>
    <row r="811" spans="1:16" ht="15" customHeight="1">
      <c r="A811" s="17" t="s">
        <v>104</v>
      </c>
      <c r="B811" s="19" t="s">
        <v>83</v>
      </c>
      <c r="C811" s="19" t="s">
        <v>47</v>
      </c>
      <c r="D811" s="19" t="str">
        <f>VLOOKUP(C811,Employees!A:J,2,0)</f>
        <v>غادة منير</v>
      </c>
      <c r="E811" s="20" t="s">
        <v>78</v>
      </c>
      <c r="F811" s="20" t="s">
        <v>78</v>
      </c>
      <c r="G811" s="21" t="s">
        <v>69</v>
      </c>
      <c r="H811" s="30" t="s">
        <v>78</v>
      </c>
      <c r="I811" s="20" t="s">
        <v>78</v>
      </c>
      <c r="J811" s="22" t="s">
        <v>78</v>
      </c>
      <c r="K811" s="47" t="s">
        <v>78</v>
      </c>
      <c r="L811" s="22" t="s">
        <v>78</v>
      </c>
      <c r="M811" s="23" t="s">
        <v>78</v>
      </c>
      <c r="N811" s="24" t="s">
        <v>78</v>
      </c>
      <c r="O811" s="25" t="s">
        <v>78</v>
      </c>
      <c r="P811" s="23">
        <f>IF(G811="غياب",VLOOKUP(C811,Employees!$A$3:$J$36,9,FALSE()),0)</f>
        <v>0</v>
      </c>
    </row>
    <row r="812" spans="1:16" ht="15" customHeight="1">
      <c r="A812" s="17" t="s">
        <v>105</v>
      </c>
      <c r="B812" s="19" t="s">
        <v>68</v>
      </c>
      <c r="C812" s="19" t="s">
        <v>47</v>
      </c>
      <c r="D812" s="19" t="str">
        <f>VLOOKUP(C812,Employees!A:J,2,0)</f>
        <v>غادة منير</v>
      </c>
      <c r="E812" s="20" t="s">
        <v>78</v>
      </c>
      <c r="F812" s="20" t="s">
        <v>78</v>
      </c>
      <c r="G812" s="21" t="s">
        <v>69</v>
      </c>
      <c r="H812" s="30" t="s">
        <v>78</v>
      </c>
      <c r="I812" s="20" t="s">
        <v>78</v>
      </c>
      <c r="J812" s="22" t="s">
        <v>78</v>
      </c>
      <c r="K812" s="47" t="s">
        <v>78</v>
      </c>
      <c r="L812" s="22" t="s">
        <v>78</v>
      </c>
      <c r="M812" s="23" t="s">
        <v>78</v>
      </c>
      <c r="N812" s="24" t="s">
        <v>78</v>
      </c>
      <c r="O812" s="25" t="s">
        <v>78</v>
      </c>
      <c r="P812" s="23">
        <f>IF(G812="غياب",VLOOKUP(C812,Employees!$A$3:$J$36,9,FALSE()),0)</f>
        <v>0</v>
      </c>
    </row>
    <row r="813" spans="1:16" ht="15" customHeight="1">
      <c r="A813" s="17" t="s">
        <v>106</v>
      </c>
      <c r="B813" s="19" t="s">
        <v>71</v>
      </c>
      <c r="C813" s="19" t="s">
        <v>47</v>
      </c>
      <c r="D813" s="19" t="str">
        <f>VLOOKUP(C813,Employees!A:J,2,0)</f>
        <v>غادة منير</v>
      </c>
      <c r="E813" s="20" t="s">
        <v>78</v>
      </c>
      <c r="F813" s="20" t="s">
        <v>78</v>
      </c>
      <c r="G813" s="21" t="s">
        <v>69</v>
      </c>
      <c r="H813" s="30" t="s">
        <v>78</v>
      </c>
      <c r="I813" s="20" t="s">
        <v>78</v>
      </c>
      <c r="J813" s="22" t="s">
        <v>78</v>
      </c>
      <c r="K813" s="47" t="s">
        <v>78</v>
      </c>
      <c r="L813" s="22" t="s">
        <v>78</v>
      </c>
      <c r="M813" s="23" t="s">
        <v>78</v>
      </c>
      <c r="N813" s="24" t="s">
        <v>78</v>
      </c>
      <c r="O813" s="25" t="s">
        <v>78</v>
      </c>
      <c r="P813" s="23">
        <f>IF(G813="غياب",VLOOKUP(C813,Employees!$A$3:$J$36,9,FALSE()),0)</f>
        <v>0</v>
      </c>
    </row>
    <row r="814" spans="1:16" ht="15" customHeight="1">
      <c r="A814" s="17" t="s">
        <v>67</v>
      </c>
      <c r="B814" s="19" t="s">
        <v>68</v>
      </c>
      <c r="C814" s="19" t="s">
        <v>48</v>
      </c>
      <c r="D814" s="19" t="str">
        <f>VLOOKUP(C814,Employees!A:J,2,0)</f>
        <v>هيام عبدالرحيم</v>
      </c>
      <c r="E814" s="20" t="s">
        <v>78</v>
      </c>
      <c r="F814" s="20" t="s">
        <v>78</v>
      </c>
      <c r="G814" s="21" t="s">
        <v>69</v>
      </c>
      <c r="H814" s="30" t="s">
        <v>78</v>
      </c>
      <c r="I814" s="20" t="s">
        <v>78</v>
      </c>
      <c r="J814" s="22" t="s">
        <v>78</v>
      </c>
      <c r="K814" s="47" t="s">
        <v>78</v>
      </c>
      <c r="L814" s="22" t="s">
        <v>78</v>
      </c>
      <c r="M814" s="23" t="s">
        <v>78</v>
      </c>
      <c r="N814" s="24" t="s">
        <v>78</v>
      </c>
      <c r="O814" s="25" t="s">
        <v>78</v>
      </c>
      <c r="P814" s="23">
        <f>IF(G814="غياب",VLOOKUP(C814,Employees!$A$3:$J$36,9,FALSE()),0)</f>
        <v>0</v>
      </c>
    </row>
    <row r="815" spans="1:16" ht="15" customHeight="1">
      <c r="A815" s="17" t="s">
        <v>70</v>
      </c>
      <c r="B815" s="19" t="s">
        <v>71</v>
      </c>
      <c r="C815" s="19" t="s">
        <v>48</v>
      </c>
      <c r="D815" s="19" t="str">
        <f>VLOOKUP(C815,Employees!A:J,2,0)</f>
        <v>هيام عبدالرحيم</v>
      </c>
      <c r="E815" s="20" t="s">
        <v>78</v>
      </c>
      <c r="F815" s="20" t="s">
        <v>78</v>
      </c>
      <c r="G815" s="21" t="s">
        <v>69</v>
      </c>
      <c r="H815" s="30" t="s">
        <v>78</v>
      </c>
      <c r="I815" s="20" t="s">
        <v>78</v>
      </c>
      <c r="J815" s="22" t="s">
        <v>78</v>
      </c>
      <c r="K815" s="47" t="s">
        <v>78</v>
      </c>
      <c r="L815" s="22" t="s">
        <v>78</v>
      </c>
      <c r="M815" s="23" t="s">
        <v>78</v>
      </c>
      <c r="N815" s="24" t="s">
        <v>78</v>
      </c>
      <c r="O815" s="25" t="s">
        <v>78</v>
      </c>
      <c r="P815" s="23">
        <f>IF(G815="غياب",VLOOKUP(C815,Employees!$A$3:$J$36,9,FALSE()),0)</f>
        <v>0</v>
      </c>
    </row>
    <row r="816" spans="1:16" ht="15" customHeight="1">
      <c r="A816" s="17" t="s">
        <v>72</v>
      </c>
      <c r="B816" s="19" t="s">
        <v>73</v>
      </c>
      <c r="C816" s="19" t="s">
        <v>48</v>
      </c>
      <c r="D816" s="19" t="str">
        <f>VLOOKUP(C816,Employees!A:J,2,0)</f>
        <v>هيام عبدالرحيم</v>
      </c>
      <c r="E816" s="20" t="s">
        <v>78</v>
      </c>
      <c r="F816" s="20" t="s">
        <v>78</v>
      </c>
      <c r="G816" s="21" t="s">
        <v>69</v>
      </c>
      <c r="H816" s="30" t="s">
        <v>78</v>
      </c>
      <c r="I816" s="20" t="s">
        <v>78</v>
      </c>
      <c r="J816" s="22" t="s">
        <v>78</v>
      </c>
      <c r="K816" s="47" t="s">
        <v>78</v>
      </c>
      <c r="L816" s="22" t="s">
        <v>78</v>
      </c>
      <c r="M816" s="23" t="s">
        <v>78</v>
      </c>
      <c r="N816" s="24" t="s">
        <v>78</v>
      </c>
      <c r="O816" s="25" t="s">
        <v>78</v>
      </c>
      <c r="P816" s="23">
        <f>IF(G816="غياب",VLOOKUP(C816,Employees!$A$3:$J$36,9,FALSE()),0)</f>
        <v>0</v>
      </c>
    </row>
    <row r="817" spans="1:16" ht="15" customHeight="1">
      <c r="A817" s="17" t="s">
        <v>74</v>
      </c>
      <c r="B817" s="19" t="s">
        <v>75</v>
      </c>
      <c r="C817" s="19" t="s">
        <v>48</v>
      </c>
      <c r="D817" s="19" t="str">
        <f>VLOOKUP(C817,Employees!A:J,2,0)</f>
        <v>هيام عبدالرحيم</v>
      </c>
      <c r="E817" s="20" t="s">
        <v>78</v>
      </c>
      <c r="F817" s="20" t="s">
        <v>78</v>
      </c>
      <c r="G817" s="21" t="s">
        <v>69</v>
      </c>
      <c r="H817" s="30" t="s">
        <v>78</v>
      </c>
      <c r="I817" s="20" t="s">
        <v>78</v>
      </c>
      <c r="J817" s="22" t="s">
        <v>78</v>
      </c>
      <c r="K817" s="47" t="s">
        <v>78</v>
      </c>
      <c r="L817" s="22" t="s">
        <v>78</v>
      </c>
      <c r="M817" s="23" t="s">
        <v>78</v>
      </c>
      <c r="N817" s="24" t="s">
        <v>78</v>
      </c>
      <c r="O817" s="25" t="s">
        <v>78</v>
      </c>
      <c r="P817" s="23">
        <f>IF(G817="غياب",VLOOKUP(C817,Employees!$A$3:$J$36,9,FALSE()),0)</f>
        <v>0</v>
      </c>
    </row>
    <row r="818" spans="1:16" ht="15" customHeight="1">
      <c r="A818" s="26" t="s">
        <v>76</v>
      </c>
      <c r="B818" s="28" t="s">
        <v>77</v>
      </c>
      <c r="C818" s="28" t="s">
        <v>48</v>
      </c>
      <c r="D818" s="28" t="str">
        <f>VLOOKUP(C818,Employees!A:J,2,0)</f>
        <v>هيام عبدالرحيم</v>
      </c>
      <c r="E818" s="29" t="s">
        <v>78</v>
      </c>
      <c r="F818" s="29" t="s">
        <v>78</v>
      </c>
      <c r="G818" s="27" t="s">
        <v>79</v>
      </c>
      <c r="H818" s="29" t="s">
        <v>78</v>
      </c>
      <c r="I818" s="29" t="s">
        <v>78</v>
      </c>
      <c r="J818" s="22" t="s">
        <v>78</v>
      </c>
      <c r="K818" s="47" t="s">
        <v>78</v>
      </c>
      <c r="L818" s="22" t="s">
        <v>78</v>
      </c>
      <c r="M818" s="23" t="s">
        <v>78</v>
      </c>
      <c r="N818" s="24" t="s">
        <v>78</v>
      </c>
      <c r="O818" s="24" t="s">
        <v>78</v>
      </c>
      <c r="P818" s="23">
        <f>IF(G818="غياب",VLOOKUP(C818,Employees!$A$3:$J$36,9,FALSE()),0)</f>
        <v>0</v>
      </c>
    </row>
    <row r="819" spans="1:16" ht="15" customHeight="1">
      <c r="A819" s="17" t="s">
        <v>80</v>
      </c>
      <c r="B819" s="19" t="s">
        <v>81</v>
      </c>
      <c r="C819" s="19" t="s">
        <v>48</v>
      </c>
      <c r="D819" s="19" t="str">
        <f>VLOOKUP(C819,Employees!A:J,2,0)</f>
        <v>هيام عبدالرحيم</v>
      </c>
      <c r="E819" s="20" t="s">
        <v>78</v>
      </c>
      <c r="F819" s="20" t="s">
        <v>78</v>
      </c>
      <c r="G819" s="21" t="s">
        <v>69</v>
      </c>
      <c r="H819" s="30" t="s">
        <v>78</v>
      </c>
      <c r="I819" s="20" t="s">
        <v>78</v>
      </c>
      <c r="J819" s="22" t="s">
        <v>78</v>
      </c>
      <c r="K819" s="47" t="s">
        <v>78</v>
      </c>
      <c r="L819" s="22" t="s">
        <v>78</v>
      </c>
      <c r="M819" s="23" t="s">
        <v>78</v>
      </c>
      <c r="N819" s="24" t="s">
        <v>78</v>
      </c>
      <c r="O819" s="25" t="s">
        <v>78</v>
      </c>
      <c r="P819" s="23">
        <f>IF(G819="غياب",VLOOKUP(C819,Employees!$A$3:$J$36,9,FALSE()),0)</f>
        <v>0</v>
      </c>
    </row>
    <row r="820" spans="1:16" ht="15" customHeight="1">
      <c r="A820" s="17" t="s">
        <v>82</v>
      </c>
      <c r="B820" s="19" t="s">
        <v>83</v>
      </c>
      <c r="C820" s="19" t="s">
        <v>48</v>
      </c>
      <c r="D820" s="19" t="str">
        <f>VLOOKUP(C820,Employees!A:J,2,0)</f>
        <v>هيام عبدالرحيم</v>
      </c>
      <c r="E820" s="20" t="s">
        <v>78</v>
      </c>
      <c r="F820" s="20" t="s">
        <v>78</v>
      </c>
      <c r="G820" s="21" t="s">
        <v>69</v>
      </c>
      <c r="H820" s="30" t="s">
        <v>78</v>
      </c>
      <c r="I820" s="20" t="s">
        <v>78</v>
      </c>
      <c r="J820" s="22" t="s">
        <v>78</v>
      </c>
      <c r="K820" s="47" t="s">
        <v>78</v>
      </c>
      <c r="L820" s="22" t="s">
        <v>78</v>
      </c>
      <c r="M820" s="23" t="s">
        <v>78</v>
      </c>
      <c r="N820" s="24" t="s">
        <v>78</v>
      </c>
      <c r="O820" s="25" t="s">
        <v>78</v>
      </c>
      <c r="P820" s="23">
        <f>IF(G820="غياب",VLOOKUP(C820,Employees!$A$3:$J$36,9,FALSE()),0)</f>
        <v>0</v>
      </c>
    </row>
    <row r="821" spans="1:16" ht="15" customHeight="1">
      <c r="A821" s="17" t="s">
        <v>84</v>
      </c>
      <c r="B821" s="19" t="s">
        <v>68</v>
      </c>
      <c r="C821" s="19" t="s">
        <v>48</v>
      </c>
      <c r="D821" s="19" t="str">
        <f>VLOOKUP(C821,Employees!A:J,2,0)</f>
        <v>هيام عبدالرحيم</v>
      </c>
      <c r="E821" s="20" t="s">
        <v>78</v>
      </c>
      <c r="F821" s="20" t="s">
        <v>78</v>
      </c>
      <c r="G821" s="21" t="s">
        <v>69</v>
      </c>
      <c r="H821" s="30" t="s">
        <v>78</v>
      </c>
      <c r="I821" s="20" t="s">
        <v>78</v>
      </c>
      <c r="J821" s="22" t="s">
        <v>78</v>
      </c>
      <c r="K821" s="47" t="s">
        <v>78</v>
      </c>
      <c r="L821" s="22" t="s">
        <v>78</v>
      </c>
      <c r="M821" s="23" t="s">
        <v>78</v>
      </c>
      <c r="N821" s="24" t="s">
        <v>78</v>
      </c>
      <c r="O821" s="25" t="s">
        <v>78</v>
      </c>
      <c r="P821" s="23">
        <f>IF(G821="غياب",VLOOKUP(C821,Employees!$A$3:$J$36,9,FALSE()),0)</f>
        <v>0</v>
      </c>
    </row>
    <row r="822" spans="1:16" ht="15" customHeight="1">
      <c r="A822" s="17" t="s">
        <v>85</v>
      </c>
      <c r="B822" s="19" t="s">
        <v>71</v>
      </c>
      <c r="C822" s="19" t="s">
        <v>48</v>
      </c>
      <c r="D822" s="19" t="str">
        <f>VLOOKUP(C822,Employees!A:J,2,0)</f>
        <v>هيام عبدالرحيم</v>
      </c>
      <c r="E822" s="20" t="s">
        <v>78</v>
      </c>
      <c r="F822" s="20" t="s">
        <v>78</v>
      </c>
      <c r="G822" s="21" t="s">
        <v>69</v>
      </c>
      <c r="H822" s="30" t="s">
        <v>78</v>
      </c>
      <c r="I822" s="20" t="s">
        <v>78</v>
      </c>
      <c r="J822" s="22" t="s">
        <v>78</v>
      </c>
      <c r="K822" s="47" t="s">
        <v>78</v>
      </c>
      <c r="L822" s="22" t="s">
        <v>78</v>
      </c>
      <c r="M822" s="23" t="s">
        <v>78</v>
      </c>
      <c r="N822" s="24" t="s">
        <v>78</v>
      </c>
      <c r="O822" s="25" t="s">
        <v>78</v>
      </c>
      <c r="P822" s="23">
        <f>IF(G822="غياب",VLOOKUP(C822,Employees!$A$3:$J$36,9,FALSE()),0)</f>
        <v>0</v>
      </c>
    </row>
    <row r="823" spans="1:16" ht="15" customHeight="1">
      <c r="A823" s="17" t="s">
        <v>86</v>
      </c>
      <c r="B823" s="19" t="s">
        <v>73</v>
      </c>
      <c r="C823" s="19" t="s">
        <v>48</v>
      </c>
      <c r="D823" s="19" t="str">
        <f>VLOOKUP(C823,Employees!A:J,2,0)</f>
        <v>هيام عبدالرحيم</v>
      </c>
      <c r="E823" s="20" t="s">
        <v>78</v>
      </c>
      <c r="F823" s="20" t="s">
        <v>78</v>
      </c>
      <c r="G823" s="21" t="s">
        <v>69</v>
      </c>
      <c r="H823" s="30" t="s">
        <v>78</v>
      </c>
      <c r="I823" s="20" t="s">
        <v>78</v>
      </c>
      <c r="J823" s="22" t="s">
        <v>78</v>
      </c>
      <c r="K823" s="47" t="s">
        <v>78</v>
      </c>
      <c r="L823" s="22" t="s">
        <v>78</v>
      </c>
      <c r="M823" s="23" t="s">
        <v>78</v>
      </c>
      <c r="N823" s="24" t="s">
        <v>78</v>
      </c>
      <c r="O823" s="25" t="s">
        <v>78</v>
      </c>
      <c r="P823" s="23">
        <f>IF(G823="غياب",VLOOKUP(C823,Employees!$A$3:$J$36,9,FALSE()),0)</f>
        <v>0</v>
      </c>
    </row>
    <row r="824" spans="1:16" ht="15" customHeight="1">
      <c r="A824" s="17" t="s">
        <v>87</v>
      </c>
      <c r="B824" s="19" t="s">
        <v>75</v>
      </c>
      <c r="C824" s="19" t="s">
        <v>48</v>
      </c>
      <c r="D824" s="19" t="str">
        <f>VLOOKUP(C824,Employees!A:J,2,0)</f>
        <v>هيام عبدالرحيم</v>
      </c>
      <c r="E824" s="20" t="s">
        <v>78</v>
      </c>
      <c r="F824" s="20" t="s">
        <v>78</v>
      </c>
      <c r="G824" s="21" t="s">
        <v>69</v>
      </c>
      <c r="H824" s="30" t="s">
        <v>78</v>
      </c>
      <c r="I824" s="20" t="s">
        <v>78</v>
      </c>
      <c r="J824" s="22" t="s">
        <v>78</v>
      </c>
      <c r="K824" s="47" t="s">
        <v>78</v>
      </c>
      <c r="L824" s="22" t="s">
        <v>78</v>
      </c>
      <c r="M824" s="23" t="s">
        <v>78</v>
      </c>
      <c r="N824" s="24" t="s">
        <v>78</v>
      </c>
      <c r="O824" s="25" t="s">
        <v>78</v>
      </c>
      <c r="P824" s="23">
        <f>IF(G824="غياب",VLOOKUP(C824,Employees!$A$3:$J$36,9,FALSE()),0)</f>
        <v>0</v>
      </c>
    </row>
    <row r="825" spans="1:16" ht="15" customHeight="1">
      <c r="A825" s="26" t="s">
        <v>88</v>
      </c>
      <c r="B825" s="28" t="s">
        <v>77</v>
      </c>
      <c r="C825" s="28" t="s">
        <v>48</v>
      </c>
      <c r="D825" s="28" t="str">
        <f>VLOOKUP(C825,Employees!A:J,2,0)</f>
        <v>هيام عبدالرحيم</v>
      </c>
      <c r="E825" s="29" t="s">
        <v>78</v>
      </c>
      <c r="F825" s="29" t="s">
        <v>78</v>
      </c>
      <c r="G825" s="27" t="s">
        <v>79</v>
      </c>
      <c r="H825" s="29" t="s">
        <v>78</v>
      </c>
      <c r="I825" s="29" t="s">
        <v>78</v>
      </c>
      <c r="J825" s="22" t="s">
        <v>78</v>
      </c>
      <c r="K825" s="47" t="s">
        <v>78</v>
      </c>
      <c r="L825" s="22" t="s">
        <v>78</v>
      </c>
      <c r="M825" s="23" t="s">
        <v>78</v>
      </c>
      <c r="N825" s="24" t="s">
        <v>78</v>
      </c>
      <c r="O825" s="24" t="s">
        <v>78</v>
      </c>
      <c r="P825" s="23">
        <f>IF(G825="غياب",VLOOKUP(C825,Employees!$A$3:$J$36,9,FALSE()),0)</f>
        <v>0</v>
      </c>
    </row>
    <row r="826" spans="1:16" ht="15" customHeight="1">
      <c r="A826" s="26" t="s">
        <v>89</v>
      </c>
      <c r="B826" s="28" t="s">
        <v>81</v>
      </c>
      <c r="C826" s="28" t="s">
        <v>48</v>
      </c>
      <c r="D826" s="28" t="str">
        <f>VLOOKUP(C826,Employees!A:J,2,0)</f>
        <v>هيام عبدالرحيم</v>
      </c>
      <c r="E826" s="29" t="s">
        <v>78</v>
      </c>
      <c r="F826" s="29" t="s">
        <v>78</v>
      </c>
      <c r="G826" s="27" t="s">
        <v>79</v>
      </c>
      <c r="H826" s="29" t="s">
        <v>78</v>
      </c>
      <c r="I826" s="29" t="s">
        <v>78</v>
      </c>
      <c r="J826" s="22" t="s">
        <v>78</v>
      </c>
      <c r="K826" s="47" t="s">
        <v>78</v>
      </c>
      <c r="L826" s="22" t="s">
        <v>78</v>
      </c>
      <c r="M826" s="23" t="s">
        <v>78</v>
      </c>
      <c r="N826" s="24" t="s">
        <v>78</v>
      </c>
      <c r="O826" s="24" t="s">
        <v>78</v>
      </c>
      <c r="P826" s="23">
        <f>IF(G826="غياب",VLOOKUP(C826,Employees!$A$3:$J$36,9,FALSE()),0)</f>
        <v>0</v>
      </c>
    </row>
    <row r="827" spans="1:16" ht="15" customHeight="1">
      <c r="A827" s="17" t="s">
        <v>90</v>
      </c>
      <c r="B827" s="19" t="s">
        <v>83</v>
      </c>
      <c r="C827" s="19" t="s">
        <v>48</v>
      </c>
      <c r="D827" s="19" t="str">
        <f>VLOOKUP(C827,Employees!A:J,2,0)</f>
        <v>هيام عبدالرحيم</v>
      </c>
      <c r="E827" s="20" t="s">
        <v>78</v>
      </c>
      <c r="F827" s="20" t="s">
        <v>78</v>
      </c>
      <c r="G827" s="21" t="s">
        <v>69</v>
      </c>
      <c r="H827" s="30" t="s">
        <v>78</v>
      </c>
      <c r="I827" s="20" t="s">
        <v>78</v>
      </c>
      <c r="J827" s="22" t="s">
        <v>78</v>
      </c>
      <c r="K827" s="47" t="s">
        <v>78</v>
      </c>
      <c r="L827" s="22" t="s">
        <v>78</v>
      </c>
      <c r="M827" s="23" t="s">
        <v>78</v>
      </c>
      <c r="N827" s="24" t="s">
        <v>78</v>
      </c>
      <c r="O827" s="25" t="s">
        <v>78</v>
      </c>
      <c r="P827" s="23">
        <f>IF(G827="غياب",VLOOKUP(C827,Employees!$A$3:$J$36,9,FALSE()),0)</f>
        <v>0</v>
      </c>
    </row>
    <row r="828" spans="1:16" ht="15" customHeight="1">
      <c r="A828" s="17" t="s">
        <v>91</v>
      </c>
      <c r="B828" s="19" t="s">
        <v>68</v>
      </c>
      <c r="C828" s="19" t="s">
        <v>48</v>
      </c>
      <c r="D828" s="19" t="str">
        <f>VLOOKUP(C828,Employees!A:J,2,0)</f>
        <v>هيام عبدالرحيم</v>
      </c>
      <c r="E828" s="20" t="s">
        <v>78</v>
      </c>
      <c r="F828" s="20" t="s">
        <v>78</v>
      </c>
      <c r="G828" s="21" t="s">
        <v>69</v>
      </c>
      <c r="H828" s="30" t="s">
        <v>78</v>
      </c>
      <c r="I828" s="20" t="s">
        <v>78</v>
      </c>
      <c r="J828" s="22" t="s">
        <v>78</v>
      </c>
      <c r="K828" s="47" t="s">
        <v>78</v>
      </c>
      <c r="L828" s="22" t="s">
        <v>78</v>
      </c>
      <c r="M828" s="23" t="s">
        <v>78</v>
      </c>
      <c r="N828" s="24" t="s">
        <v>78</v>
      </c>
      <c r="O828" s="25" t="s">
        <v>78</v>
      </c>
      <c r="P828" s="23">
        <f>IF(G828="غياب",VLOOKUP(C828,Employees!$A$3:$J$36,9,FALSE()),0)</f>
        <v>0</v>
      </c>
    </row>
    <row r="829" spans="1:16" ht="15" customHeight="1">
      <c r="A829" s="17" t="s">
        <v>92</v>
      </c>
      <c r="B829" s="19" t="s">
        <v>71</v>
      </c>
      <c r="C829" s="19" t="s">
        <v>48</v>
      </c>
      <c r="D829" s="19" t="str">
        <f>VLOOKUP(C829,Employees!A:J,2,0)</f>
        <v>هيام عبدالرحيم</v>
      </c>
      <c r="E829" s="20" t="s">
        <v>78</v>
      </c>
      <c r="F829" s="20" t="s">
        <v>78</v>
      </c>
      <c r="G829" s="21" t="s">
        <v>69</v>
      </c>
      <c r="H829" s="30" t="s">
        <v>78</v>
      </c>
      <c r="I829" s="20" t="s">
        <v>78</v>
      </c>
      <c r="J829" s="22" t="s">
        <v>78</v>
      </c>
      <c r="K829" s="47" t="s">
        <v>78</v>
      </c>
      <c r="L829" s="22" t="s">
        <v>78</v>
      </c>
      <c r="M829" s="23" t="s">
        <v>78</v>
      </c>
      <c r="N829" s="24" t="s">
        <v>78</v>
      </c>
      <c r="O829" s="25" t="s">
        <v>78</v>
      </c>
      <c r="P829" s="23">
        <f>IF(G829="غياب",VLOOKUP(C829,Employees!$A$3:$J$36,9,FALSE()),0)</f>
        <v>0</v>
      </c>
    </row>
    <row r="830" spans="1:16" ht="15" customHeight="1">
      <c r="A830" s="17" t="s">
        <v>93</v>
      </c>
      <c r="B830" s="19" t="s">
        <v>73</v>
      </c>
      <c r="C830" s="19" t="s">
        <v>48</v>
      </c>
      <c r="D830" s="19" t="str">
        <f>VLOOKUP(C830,Employees!A:J,2,0)</f>
        <v>هيام عبدالرحيم</v>
      </c>
      <c r="E830" s="20" t="s">
        <v>78</v>
      </c>
      <c r="F830" s="20" t="s">
        <v>78</v>
      </c>
      <c r="G830" s="21" t="s">
        <v>69</v>
      </c>
      <c r="H830" s="30" t="s">
        <v>78</v>
      </c>
      <c r="I830" s="20" t="s">
        <v>78</v>
      </c>
      <c r="J830" s="22" t="s">
        <v>78</v>
      </c>
      <c r="K830" s="47" t="s">
        <v>78</v>
      </c>
      <c r="L830" s="22" t="s">
        <v>78</v>
      </c>
      <c r="M830" s="23" t="s">
        <v>78</v>
      </c>
      <c r="N830" s="24" t="s">
        <v>78</v>
      </c>
      <c r="O830" s="25" t="s">
        <v>78</v>
      </c>
      <c r="P830" s="23">
        <f>IF(G830="غياب",VLOOKUP(C830,Employees!$A$3:$J$36,9,FALSE()),0)</f>
        <v>0</v>
      </c>
    </row>
    <row r="831" spans="1:16" ht="15" customHeight="1">
      <c r="A831" s="17" t="s">
        <v>94</v>
      </c>
      <c r="B831" s="19" t="s">
        <v>75</v>
      </c>
      <c r="C831" s="19" t="s">
        <v>48</v>
      </c>
      <c r="D831" s="19" t="str">
        <f>VLOOKUP(C831,Employees!A:J,2,0)</f>
        <v>هيام عبدالرحيم</v>
      </c>
      <c r="E831" s="20" t="s">
        <v>78</v>
      </c>
      <c r="F831" s="20" t="s">
        <v>78</v>
      </c>
      <c r="G831" s="21" t="s">
        <v>69</v>
      </c>
      <c r="H831" s="30" t="s">
        <v>78</v>
      </c>
      <c r="I831" s="20" t="s">
        <v>78</v>
      </c>
      <c r="J831" s="22" t="s">
        <v>78</v>
      </c>
      <c r="K831" s="47" t="s">
        <v>78</v>
      </c>
      <c r="L831" s="22" t="s">
        <v>78</v>
      </c>
      <c r="M831" s="23" t="s">
        <v>78</v>
      </c>
      <c r="N831" s="24" t="s">
        <v>78</v>
      </c>
      <c r="O831" s="25" t="s">
        <v>78</v>
      </c>
      <c r="P831" s="23">
        <f>IF(G831="غياب",VLOOKUP(C831,Employees!$A$3:$J$36,9,FALSE()),0)</f>
        <v>0</v>
      </c>
    </row>
    <row r="832" spans="1:16" ht="15" customHeight="1">
      <c r="A832" s="26" t="s">
        <v>95</v>
      </c>
      <c r="B832" s="28" t="s">
        <v>77</v>
      </c>
      <c r="C832" s="28" t="s">
        <v>48</v>
      </c>
      <c r="D832" s="28" t="str">
        <f>VLOOKUP(C832,Employees!A:J,2,0)</f>
        <v>هيام عبدالرحيم</v>
      </c>
      <c r="E832" s="29" t="s">
        <v>78</v>
      </c>
      <c r="F832" s="29" t="s">
        <v>78</v>
      </c>
      <c r="G832" s="27" t="s">
        <v>79</v>
      </c>
      <c r="H832" s="29" t="s">
        <v>78</v>
      </c>
      <c r="I832" s="29" t="s">
        <v>78</v>
      </c>
      <c r="J832" s="22" t="s">
        <v>78</v>
      </c>
      <c r="K832" s="47" t="s">
        <v>78</v>
      </c>
      <c r="L832" s="22" t="s">
        <v>78</v>
      </c>
      <c r="M832" s="23" t="s">
        <v>78</v>
      </c>
      <c r="N832" s="24" t="s">
        <v>78</v>
      </c>
      <c r="O832" s="24" t="s">
        <v>78</v>
      </c>
      <c r="P832" s="23">
        <f>IF(G832="غياب",VLOOKUP(C832,Employees!$A$3:$J$36,9,FALSE()),0)</f>
        <v>0</v>
      </c>
    </row>
    <row r="833" spans="1:16" ht="15" customHeight="1">
      <c r="A833" s="17" t="s">
        <v>96</v>
      </c>
      <c r="B833" s="19" t="s">
        <v>81</v>
      </c>
      <c r="C833" s="19" t="s">
        <v>48</v>
      </c>
      <c r="D833" s="19" t="str">
        <f>VLOOKUP(C833,Employees!A:J,2,0)</f>
        <v>هيام عبدالرحيم</v>
      </c>
      <c r="E833" s="20" t="s">
        <v>78</v>
      </c>
      <c r="F833" s="20" t="s">
        <v>78</v>
      </c>
      <c r="G833" s="21" t="s">
        <v>69</v>
      </c>
      <c r="H833" s="20" t="s">
        <v>78</v>
      </c>
      <c r="I833" s="20" t="s">
        <v>78</v>
      </c>
      <c r="J833" s="22" t="s">
        <v>78</v>
      </c>
      <c r="K833" s="47" t="s">
        <v>78</v>
      </c>
      <c r="L833" s="22" t="s">
        <v>78</v>
      </c>
      <c r="M833" s="23" t="s">
        <v>78</v>
      </c>
      <c r="N833" s="24" t="s">
        <v>78</v>
      </c>
      <c r="O833" s="25" t="s">
        <v>78</v>
      </c>
      <c r="P833" s="23">
        <f>IF(G833="غياب",VLOOKUP(C833,Employees!$A$3:$J$36,9,FALSE()),0)</f>
        <v>0</v>
      </c>
    </row>
    <row r="834" spans="1:16" ht="15" customHeight="1">
      <c r="A834" s="17" t="s">
        <v>97</v>
      </c>
      <c r="B834" s="19" t="s">
        <v>83</v>
      </c>
      <c r="C834" s="19" t="s">
        <v>48</v>
      </c>
      <c r="D834" s="19" t="str">
        <f>VLOOKUP(C834,Employees!A:J,2,0)</f>
        <v>هيام عبدالرحيم</v>
      </c>
      <c r="E834" s="20" t="s">
        <v>78</v>
      </c>
      <c r="F834" s="20" t="s">
        <v>78</v>
      </c>
      <c r="G834" s="21" t="s">
        <v>69</v>
      </c>
      <c r="H834" s="20" t="s">
        <v>78</v>
      </c>
      <c r="I834" s="20" t="s">
        <v>78</v>
      </c>
      <c r="J834" s="22" t="s">
        <v>78</v>
      </c>
      <c r="K834" s="47" t="s">
        <v>78</v>
      </c>
      <c r="L834" s="22" t="s">
        <v>78</v>
      </c>
      <c r="M834" s="23" t="s">
        <v>78</v>
      </c>
      <c r="N834" s="24" t="s">
        <v>78</v>
      </c>
      <c r="O834" s="25" t="s">
        <v>78</v>
      </c>
      <c r="P834" s="23">
        <f>IF(G834="غياب",VLOOKUP(C834,Employees!$A$3:$J$36,9,FALSE()),0)</f>
        <v>0</v>
      </c>
    </row>
    <row r="835" spans="1:16" ht="15" customHeight="1">
      <c r="A835" s="17" t="s">
        <v>98</v>
      </c>
      <c r="B835" s="19" t="s">
        <v>68</v>
      </c>
      <c r="C835" s="19" t="s">
        <v>48</v>
      </c>
      <c r="D835" s="19" t="str">
        <f>VLOOKUP(C835,Employees!A:J,2,0)</f>
        <v>هيام عبدالرحيم</v>
      </c>
      <c r="E835" s="20" t="s">
        <v>78</v>
      </c>
      <c r="F835" s="20" t="s">
        <v>78</v>
      </c>
      <c r="G835" s="21" t="s">
        <v>69</v>
      </c>
      <c r="H835" s="20" t="s">
        <v>78</v>
      </c>
      <c r="I835" s="20" t="s">
        <v>78</v>
      </c>
      <c r="J835" s="22" t="s">
        <v>78</v>
      </c>
      <c r="K835" s="47" t="s">
        <v>78</v>
      </c>
      <c r="L835" s="22" t="s">
        <v>78</v>
      </c>
      <c r="M835" s="23" t="s">
        <v>78</v>
      </c>
      <c r="N835" s="24" t="s">
        <v>78</v>
      </c>
      <c r="O835" s="25" t="s">
        <v>78</v>
      </c>
      <c r="P835" s="23">
        <f>IF(G835="غياب",VLOOKUP(C835,Employees!$A$3:$J$36,9,FALSE()),0)</f>
        <v>0</v>
      </c>
    </row>
    <row r="836" spans="1:16" ht="15" customHeight="1">
      <c r="A836" s="17" t="s">
        <v>99</v>
      </c>
      <c r="B836" s="19" t="s">
        <v>71</v>
      </c>
      <c r="C836" s="19" t="s">
        <v>48</v>
      </c>
      <c r="D836" s="19" t="str">
        <f>VLOOKUP(C836,Employees!A:J,2,0)</f>
        <v>هيام عبدالرحيم</v>
      </c>
      <c r="E836" s="20" t="s">
        <v>78</v>
      </c>
      <c r="F836" s="20" t="s">
        <v>78</v>
      </c>
      <c r="G836" s="21" t="s">
        <v>69</v>
      </c>
      <c r="H836" s="20" t="s">
        <v>78</v>
      </c>
      <c r="I836" s="20" t="s">
        <v>78</v>
      </c>
      <c r="J836" s="22" t="s">
        <v>78</v>
      </c>
      <c r="K836" s="47" t="s">
        <v>78</v>
      </c>
      <c r="L836" s="22" t="s">
        <v>78</v>
      </c>
      <c r="M836" s="23" t="s">
        <v>78</v>
      </c>
      <c r="N836" s="24" t="s">
        <v>78</v>
      </c>
      <c r="O836" s="25" t="s">
        <v>78</v>
      </c>
      <c r="P836" s="23">
        <f>IF(G836="غياب",VLOOKUP(C836,Employees!$A$3:$J$36,9,FALSE()),0)</f>
        <v>0</v>
      </c>
    </row>
    <row r="837" spans="1:16" ht="15" customHeight="1">
      <c r="A837" s="17" t="s">
        <v>100</v>
      </c>
      <c r="B837" s="19" t="s">
        <v>73</v>
      </c>
      <c r="C837" s="19" t="s">
        <v>48</v>
      </c>
      <c r="D837" s="19" t="str">
        <f>VLOOKUP(C837,Employees!A:J,2,0)</f>
        <v>هيام عبدالرحيم</v>
      </c>
      <c r="E837" s="20" t="s">
        <v>78</v>
      </c>
      <c r="F837" s="20" t="s">
        <v>78</v>
      </c>
      <c r="G837" s="21" t="s">
        <v>69</v>
      </c>
      <c r="H837" s="20" t="s">
        <v>78</v>
      </c>
      <c r="I837" s="20" t="s">
        <v>78</v>
      </c>
      <c r="J837" s="22" t="s">
        <v>78</v>
      </c>
      <c r="K837" s="47" t="s">
        <v>78</v>
      </c>
      <c r="L837" s="22" t="s">
        <v>78</v>
      </c>
      <c r="M837" s="23" t="s">
        <v>78</v>
      </c>
      <c r="N837" s="24" t="s">
        <v>78</v>
      </c>
      <c r="O837" s="25" t="s">
        <v>78</v>
      </c>
      <c r="P837" s="23">
        <f>IF(G837="غياب",VLOOKUP(C837,Employees!$A$3:$J$36,9,FALSE()),0)</f>
        <v>0</v>
      </c>
    </row>
    <row r="838" spans="1:16" ht="15" customHeight="1">
      <c r="A838" s="17" t="s">
        <v>101</v>
      </c>
      <c r="B838" s="19" t="s">
        <v>75</v>
      </c>
      <c r="C838" s="19" t="s">
        <v>48</v>
      </c>
      <c r="D838" s="19" t="str">
        <f>VLOOKUP(C838,Employees!A:J,2,0)</f>
        <v>هيام عبدالرحيم</v>
      </c>
      <c r="E838" s="20" t="s">
        <v>78</v>
      </c>
      <c r="F838" s="20" t="s">
        <v>78</v>
      </c>
      <c r="G838" s="21" t="s">
        <v>69</v>
      </c>
      <c r="H838" s="20" t="s">
        <v>78</v>
      </c>
      <c r="I838" s="20" t="s">
        <v>78</v>
      </c>
      <c r="J838" s="22" t="s">
        <v>78</v>
      </c>
      <c r="K838" s="47" t="s">
        <v>78</v>
      </c>
      <c r="L838" s="22" t="s">
        <v>78</v>
      </c>
      <c r="M838" s="23" t="s">
        <v>78</v>
      </c>
      <c r="N838" s="24" t="s">
        <v>78</v>
      </c>
      <c r="O838" s="25" t="s">
        <v>78</v>
      </c>
      <c r="P838" s="23">
        <f>IF(G838="غياب",VLOOKUP(C838,Employees!$A$3:$J$36,9,FALSE()),0)</f>
        <v>0</v>
      </c>
    </row>
    <row r="839" spans="1:16" ht="15" customHeight="1">
      <c r="A839" s="26" t="s">
        <v>102</v>
      </c>
      <c r="B839" s="28" t="s">
        <v>77</v>
      </c>
      <c r="C839" s="28" t="s">
        <v>48</v>
      </c>
      <c r="D839" s="28" t="str">
        <f>VLOOKUP(C839,Employees!A:J,2,0)</f>
        <v>هيام عبدالرحيم</v>
      </c>
      <c r="E839" s="29" t="s">
        <v>78</v>
      </c>
      <c r="F839" s="29" t="s">
        <v>78</v>
      </c>
      <c r="G839" s="27" t="s">
        <v>79</v>
      </c>
      <c r="H839" s="29" t="s">
        <v>78</v>
      </c>
      <c r="I839" s="29" t="s">
        <v>78</v>
      </c>
      <c r="J839" s="22" t="s">
        <v>78</v>
      </c>
      <c r="K839" s="47" t="s">
        <v>78</v>
      </c>
      <c r="L839" s="22" t="s">
        <v>78</v>
      </c>
      <c r="M839" s="23" t="s">
        <v>78</v>
      </c>
      <c r="N839" s="24" t="s">
        <v>78</v>
      </c>
      <c r="O839" s="24" t="s">
        <v>78</v>
      </c>
      <c r="P839" s="23">
        <f>IF(G839="غياب",VLOOKUP(C839,Employees!$A$3:$J$36,9,FALSE()),0)</f>
        <v>0</v>
      </c>
    </row>
    <row r="840" spans="1:16" ht="15" customHeight="1">
      <c r="A840" s="17" t="s">
        <v>103</v>
      </c>
      <c r="B840" s="19" t="s">
        <v>81</v>
      </c>
      <c r="C840" s="19" t="s">
        <v>48</v>
      </c>
      <c r="D840" s="19" t="str">
        <f>VLOOKUP(C840,Employees!A:J,2,0)</f>
        <v>هيام عبدالرحيم</v>
      </c>
      <c r="E840" s="20" t="s">
        <v>78</v>
      </c>
      <c r="F840" s="20" t="s">
        <v>78</v>
      </c>
      <c r="G840" s="21" t="s">
        <v>69</v>
      </c>
      <c r="H840" s="20" t="s">
        <v>78</v>
      </c>
      <c r="I840" s="20" t="s">
        <v>78</v>
      </c>
      <c r="J840" s="22" t="s">
        <v>78</v>
      </c>
      <c r="K840" s="47" t="s">
        <v>78</v>
      </c>
      <c r="L840" s="22" t="s">
        <v>78</v>
      </c>
      <c r="M840" s="23" t="s">
        <v>78</v>
      </c>
      <c r="N840" s="24" t="s">
        <v>78</v>
      </c>
      <c r="O840" s="25" t="s">
        <v>78</v>
      </c>
      <c r="P840" s="23">
        <f>IF(G840="غياب",VLOOKUP(C840,Employees!$A$3:$J$36,9,FALSE()),0)</f>
        <v>0</v>
      </c>
    </row>
    <row r="841" spans="1:16" ht="15" customHeight="1">
      <c r="A841" s="17" t="s">
        <v>104</v>
      </c>
      <c r="B841" s="19" t="s">
        <v>83</v>
      </c>
      <c r="C841" s="19" t="s">
        <v>48</v>
      </c>
      <c r="D841" s="19" t="str">
        <f>VLOOKUP(C841,Employees!A:J,2,0)</f>
        <v>هيام عبدالرحيم</v>
      </c>
      <c r="E841" s="20" t="s">
        <v>78</v>
      </c>
      <c r="F841" s="20" t="s">
        <v>78</v>
      </c>
      <c r="G841" s="21" t="s">
        <v>69</v>
      </c>
      <c r="H841" s="20" t="s">
        <v>78</v>
      </c>
      <c r="I841" s="20" t="s">
        <v>78</v>
      </c>
      <c r="J841" s="22" t="s">
        <v>78</v>
      </c>
      <c r="K841" s="47" t="s">
        <v>78</v>
      </c>
      <c r="L841" s="22" t="s">
        <v>78</v>
      </c>
      <c r="M841" s="23" t="s">
        <v>78</v>
      </c>
      <c r="N841" s="24" t="s">
        <v>78</v>
      </c>
      <c r="O841" s="25" t="s">
        <v>78</v>
      </c>
      <c r="P841" s="23">
        <f>IF(G841="غياب",VLOOKUP(C841,Employees!$A$3:$J$36,9,FALSE()),0)</f>
        <v>0</v>
      </c>
    </row>
    <row r="842" spans="1:16" ht="15" customHeight="1">
      <c r="A842" s="17" t="s">
        <v>105</v>
      </c>
      <c r="B842" s="19" t="s">
        <v>68</v>
      </c>
      <c r="C842" s="19" t="s">
        <v>48</v>
      </c>
      <c r="D842" s="19" t="str">
        <f>VLOOKUP(C842,Employees!A:J,2,0)</f>
        <v>هيام عبدالرحيم</v>
      </c>
      <c r="E842" s="20" t="s">
        <v>78</v>
      </c>
      <c r="F842" s="20" t="s">
        <v>78</v>
      </c>
      <c r="G842" s="21" t="s">
        <v>69</v>
      </c>
      <c r="H842" s="20" t="s">
        <v>78</v>
      </c>
      <c r="I842" s="20" t="s">
        <v>78</v>
      </c>
      <c r="J842" s="22" t="s">
        <v>78</v>
      </c>
      <c r="K842" s="47" t="s">
        <v>78</v>
      </c>
      <c r="L842" s="22" t="s">
        <v>78</v>
      </c>
      <c r="M842" s="23" t="s">
        <v>78</v>
      </c>
      <c r="N842" s="24" t="s">
        <v>78</v>
      </c>
      <c r="O842" s="25" t="s">
        <v>78</v>
      </c>
      <c r="P842" s="23">
        <f>IF(G842="غياب",VLOOKUP(C842,Employees!$A$3:$J$36,9,FALSE()),0)</f>
        <v>0</v>
      </c>
    </row>
    <row r="843" spans="1:16" ht="15" customHeight="1">
      <c r="A843" s="17" t="s">
        <v>106</v>
      </c>
      <c r="B843" s="19" t="s">
        <v>71</v>
      </c>
      <c r="C843" s="19" t="s">
        <v>48</v>
      </c>
      <c r="D843" s="19" t="str">
        <f>VLOOKUP(C843,Employees!A:J,2,0)</f>
        <v>هيام عبدالرحيم</v>
      </c>
      <c r="E843" s="20" t="s">
        <v>78</v>
      </c>
      <c r="F843" s="20" t="s">
        <v>78</v>
      </c>
      <c r="G843" s="21" t="s">
        <v>69</v>
      </c>
      <c r="H843" s="20" t="s">
        <v>78</v>
      </c>
      <c r="I843" s="20" t="s">
        <v>78</v>
      </c>
      <c r="J843" s="22" t="s">
        <v>78</v>
      </c>
      <c r="K843" s="47" t="s">
        <v>78</v>
      </c>
      <c r="L843" s="22" t="s">
        <v>78</v>
      </c>
      <c r="M843" s="23" t="s">
        <v>78</v>
      </c>
      <c r="N843" s="24" t="s">
        <v>78</v>
      </c>
      <c r="O843" s="25" t="s">
        <v>78</v>
      </c>
      <c r="P843" s="23">
        <f>IF(G843="غياب",VLOOKUP(C843,Employees!$A$3:$J$36,9,FALSE()),0)</f>
        <v>0</v>
      </c>
    </row>
    <row r="844" spans="1:16" ht="15" customHeight="1">
      <c r="A844" s="17" t="s">
        <v>67</v>
      </c>
      <c r="B844" s="19" t="s">
        <v>68</v>
      </c>
      <c r="C844" s="19" t="s">
        <v>49</v>
      </c>
      <c r="D844" s="19" t="str">
        <f>VLOOKUP(C844,Employees!A:J,2,0)</f>
        <v>يونس خالد</v>
      </c>
      <c r="E844" s="20">
        <v>0.375</v>
      </c>
      <c r="F844" s="20">
        <v>0.875</v>
      </c>
      <c r="G844" s="21" t="s">
        <v>69</v>
      </c>
      <c r="H844" s="20">
        <f t="shared" ref="H844:H847" si="365">E844</f>
        <v>0.375</v>
      </c>
      <c r="I844" s="20">
        <v>0.8569444444444444</v>
      </c>
      <c r="J844" s="22">
        <f t="shared" ref="J844:J847" si="366">IF(OR(H844="",G844="غياب",G844="إجازة أسبوعية"),0,
IF(H844&gt;=E844-TIME(0,20,0),0,
IF(H844&gt;=E844-TIME(0,30,0),30,(E844-H844)*1440)))</f>
        <v>0</v>
      </c>
      <c r="K844" s="47">
        <f>(J844/60)*VLOOKUP(C844,Employees!A:J,10,0)*1.5</f>
        <v>0</v>
      </c>
      <c r="L844" s="22">
        <f t="shared" ref="L844:L847" si="367">IF(OR(H844="",G844="غياب",G844="إجازة أسبوعية"),0,
IF(H844&lt;=E844+TIME(0,30,0),0,
30+((H844-(E844+TIME(0,30,0)))*1440)))</f>
        <v>0</v>
      </c>
      <c r="M844" s="23">
        <f>(L844/60)*VLOOKUP(C844,Employees!A:J,10,0)*2</f>
        <v>0</v>
      </c>
      <c r="N844" s="24">
        <f t="shared" ref="N844:N847" si="368">IF(OR(I844="",G844="غياب",G844="إجازة أسبوعية",I844&lt;=F844),0,
IF(MOD(I844-F844,1)&lt;=TIME(0,25,0),0,MAX(0,(I844-F844)*1440)))</f>
        <v>0</v>
      </c>
      <c r="O844" s="25">
        <f>(N844/60)*VLOOKUP(C844,Employees!A:J,10,0)</f>
        <v>0</v>
      </c>
      <c r="P844" s="23">
        <f>IF(G844="غياب",VLOOKUP(C844,Employees!$A$3:$J$36,9,FALSE()),0)</f>
        <v>0</v>
      </c>
    </row>
    <row r="845" spans="1:16" ht="15" customHeight="1">
      <c r="A845" s="17" t="s">
        <v>70</v>
      </c>
      <c r="B845" s="19" t="s">
        <v>71</v>
      </c>
      <c r="C845" s="19" t="s">
        <v>49</v>
      </c>
      <c r="D845" s="19" t="str">
        <f>VLOOKUP(C845,Employees!A:J,2,0)</f>
        <v>يونس خالد</v>
      </c>
      <c r="E845" s="20">
        <v>0.375</v>
      </c>
      <c r="F845" s="20">
        <v>0.875</v>
      </c>
      <c r="G845" s="21" t="s">
        <v>69</v>
      </c>
      <c r="H845" s="20">
        <f t="shared" si="365"/>
        <v>0.375</v>
      </c>
      <c r="I845" s="20">
        <v>0.86458333333333337</v>
      </c>
      <c r="J845" s="22">
        <f t="shared" si="366"/>
        <v>0</v>
      </c>
      <c r="K845" s="47">
        <f>(J845/60)*VLOOKUP(C845,Employees!A:J,10,0)*1.5</f>
        <v>0</v>
      </c>
      <c r="L845" s="22">
        <f t="shared" si="367"/>
        <v>0</v>
      </c>
      <c r="M845" s="23">
        <f>(L845/60)*VLOOKUP(C845,Employees!A:J,10,0)*2</f>
        <v>0</v>
      </c>
      <c r="N845" s="24">
        <f t="shared" si="368"/>
        <v>0</v>
      </c>
      <c r="O845" s="25">
        <f>(N845/60)*VLOOKUP(C845,Employees!A:J,10,0)</f>
        <v>0</v>
      </c>
      <c r="P845" s="23">
        <f>IF(G845="غياب",VLOOKUP(C845,Employees!$A$3:$J$36,9,FALSE()),0)</f>
        <v>0</v>
      </c>
    </row>
    <row r="846" spans="1:16" ht="15" customHeight="1">
      <c r="A846" s="17" t="s">
        <v>72</v>
      </c>
      <c r="B846" s="19" t="s">
        <v>73</v>
      </c>
      <c r="C846" s="19" t="s">
        <v>49</v>
      </c>
      <c r="D846" s="19" t="str">
        <f>VLOOKUP(C846,Employees!A:J,2,0)</f>
        <v>يونس خالد</v>
      </c>
      <c r="E846" s="20">
        <v>0.375</v>
      </c>
      <c r="F846" s="20">
        <v>0.875</v>
      </c>
      <c r="G846" s="21" t="s">
        <v>69</v>
      </c>
      <c r="H846" s="20">
        <f t="shared" si="365"/>
        <v>0.375</v>
      </c>
      <c r="I846" s="20">
        <v>0.8833333333333333</v>
      </c>
      <c r="J846" s="22">
        <f t="shared" si="366"/>
        <v>0</v>
      </c>
      <c r="K846" s="47">
        <f>(J846/60)*VLOOKUP(C846,Employees!A:J,10,0)*1.5</f>
        <v>0</v>
      </c>
      <c r="L846" s="22">
        <f t="shared" si="367"/>
        <v>0</v>
      </c>
      <c r="M846" s="23">
        <f>(L846/60)*VLOOKUP(C846,Employees!A:J,10,0)*2</f>
        <v>0</v>
      </c>
      <c r="N846" s="24">
        <f t="shared" si="368"/>
        <v>0</v>
      </c>
      <c r="O846" s="25">
        <f>(N846/60)*VLOOKUP(C846,Employees!A:J,10,0)</f>
        <v>0</v>
      </c>
      <c r="P846" s="23">
        <f>IF(G846="غياب",VLOOKUP(C846,Employees!$A$3:$J$36,9,FALSE()),0)</f>
        <v>0</v>
      </c>
    </row>
    <row r="847" spans="1:16" ht="15" customHeight="1">
      <c r="A847" s="17" t="s">
        <v>74</v>
      </c>
      <c r="B847" s="19" t="s">
        <v>75</v>
      </c>
      <c r="C847" s="19" t="s">
        <v>49</v>
      </c>
      <c r="D847" s="19" t="str">
        <f>VLOOKUP(C847,Employees!A:J,2,0)</f>
        <v>يونس خالد</v>
      </c>
      <c r="E847" s="20">
        <v>0.375</v>
      </c>
      <c r="F847" s="20">
        <v>0.875</v>
      </c>
      <c r="G847" s="21" t="s">
        <v>69</v>
      </c>
      <c r="H847" s="20">
        <f t="shared" si="365"/>
        <v>0.375</v>
      </c>
      <c r="I847" s="20">
        <v>0.85972222222222228</v>
      </c>
      <c r="J847" s="22">
        <f t="shared" si="366"/>
        <v>0</v>
      </c>
      <c r="K847" s="47">
        <f>(J847/60)*VLOOKUP(C847,Employees!A:J,10,0)*1.5</f>
        <v>0</v>
      </c>
      <c r="L847" s="22">
        <f t="shared" si="367"/>
        <v>0</v>
      </c>
      <c r="M847" s="23">
        <f>(L847/60)*VLOOKUP(C847,Employees!A:J,10,0)*2</f>
        <v>0</v>
      </c>
      <c r="N847" s="24">
        <f t="shared" si="368"/>
        <v>0</v>
      </c>
      <c r="O847" s="25">
        <f>(N847/60)*VLOOKUP(C847,Employees!A:J,10,0)</f>
        <v>0</v>
      </c>
      <c r="P847" s="23">
        <f>IF(G847="غياب",VLOOKUP(C847,Employees!$A$3:$J$36,9,FALSE()),0)</f>
        <v>0</v>
      </c>
    </row>
    <row r="848" spans="1:16" ht="15" customHeight="1">
      <c r="A848" s="26" t="s">
        <v>76</v>
      </c>
      <c r="B848" s="28" t="s">
        <v>77</v>
      </c>
      <c r="C848" s="28" t="s">
        <v>49</v>
      </c>
      <c r="D848" s="28" t="str">
        <f>VLOOKUP(C848,Employees!A:J,2,0)</f>
        <v>يونس خالد</v>
      </c>
      <c r="E848" s="29" t="s">
        <v>78</v>
      </c>
      <c r="F848" s="29" t="s">
        <v>78</v>
      </c>
      <c r="G848" s="27" t="s">
        <v>79</v>
      </c>
      <c r="H848" s="29" t="s">
        <v>78</v>
      </c>
      <c r="I848" s="29" t="s">
        <v>78</v>
      </c>
      <c r="J848" s="22" t="s">
        <v>78</v>
      </c>
      <c r="K848" s="47" t="s">
        <v>78</v>
      </c>
      <c r="L848" s="22" t="s">
        <v>78</v>
      </c>
      <c r="M848" s="23" t="s">
        <v>78</v>
      </c>
      <c r="N848" s="24" t="s">
        <v>78</v>
      </c>
      <c r="O848" s="24" t="s">
        <v>78</v>
      </c>
      <c r="P848" s="23">
        <f>IF(G848="غياب",VLOOKUP(C848,Employees!$A$3:$J$36,9,FALSE()),0)</f>
        <v>0</v>
      </c>
    </row>
    <row r="849" spans="1:16" ht="15" customHeight="1">
      <c r="A849" s="17" t="s">
        <v>80</v>
      </c>
      <c r="B849" s="19" t="s">
        <v>81</v>
      </c>
      <c r="C849" s="19" t="s">
        <v>49</v>
      </c>
      <c r="D849" s="19" t="str">
        <f>VLOOKUP(C849,Employees!A:J,2,0)</f>
        <v>يونس خالد</v>
      </c>
      <c r="E849" s="20">
        <v>0.375</v>
      </c>
      <c r="F849" s="20">
        <v>0.875</v>
      </c>
      <c r="G849" s="21" t="s">
        <v>69</v>
      </c>
      <c r="H849" s="20">
        <f t="shared" ref="H849:H854" si="369">E849</f>
        <v>0.375</v>
      </c>
      <c r="I849" s="20">
        <v>0.86736111111111114</v>
      </c>
      <c r="J849" s="22">
        <f t="shared" ref="J849:J854" si="370">IF(OR(H849="",G849="غياب",G849="إجازة أسبوعية"),0,
IF(H849&gt;=E849-TIME(0,20,0),0,
IF(H849&gt;=E849-TIME(0,30,0),30,(E849-H849)*1440)))</f>
        <v>0</v>
      </c>
      <c r="K849" s="47">
        <f>(J849/60)*VLOOKUP(C849,Employees!A:J,10,0)*1.5</f>
        <v>0</v>
      </c>
      <c r="L849" s="22">
        <f t="shared" ref="L849:L854" si="371">IF(OR(H849="",G849="غياب",G849="إجازة أسبوعية"),0,
IF(H849&lt;=E849+TIME(0,30,0),0,
30+((H849-(E849+TIME(0,30,0)))*1440)))</f>
        <v>0</v>
      </c>
      <c r="M849" s="23">
        <f>(L849/60)*VLOOKUP(C849,Employees!A:J,10,0)*2</f>
        <v>0</v>
      </c>
      <c r="N849" s="24">
        <f t="shared" ref="N849:N854" si="372">IF(OR(I849="",G849="غياب",G849="إجازة أسبوعية",I849&lt;=F849),0,
IF(MOD(I849-F849,1)&lt;=TIME(0,25,0),0,MAX(0,(I849-F849)*1440)))</f>
        <v>0</v>
      </c>
      <c r="O849" s="25">
        <f>(N849/60)*VLOOKUP(C849,Employees!A:J,10,0)</f>
        <v>0</v>
      </c>
      <c r="P849" s="23">
        <f>IF(G849="غياب",VLOOKUP(C849,Employees!$A$3:$J$36,9,FALSE()),0)</f>
        <v>0</v>
      </c>
    </row>
    <row r="850" spans="1:16" ht="15" customHeight="1">
      <c r="A850" s="17" t="s">
        <v>82</v>
      </c>
      <c r="B850" s="19" t="s">
        <v>83</v>
      </c>
      <c r="C850" s="19" t="s">
        <v>49</v>
      </c>
      <c r="D850" s="19" t="str">
        <f>VLOOKUP(C850,Employees!A:J,2,0)</f>
        <v>يونس خالد</v>
      </c>
      <c r="E850" s="20">
        <v>0.375</v>
      </c>
      <c r="F850" s="20">
        <v>0.875</v>
      </c>
      <c r="G850" s="21" t="s">
        <v>69</v>
      </c>
      <c r="H850" s="20">
        <f t="shared" si="369"/>
        <v>0.375</v>
      </c>
      <c r="I850" s="20">
        <v>0.87083333333333335</v>
      </c>
      <c r="J850" s="22">
        <f t="shared" si="370"/>
        <v>0</v>
      </c>
      <c r="K850" s="47">
        <f>(J850/60)*VLOOKUP(C850,Employees!A:J,10,0)*1.5</f>
        <v>0</v>
      </c>
      <c r="L850" s="22">
        <f t="shared" si="371"/>
        <v>0</v>
      </c>
      <c r="M850" s="23">
        <f>(L850/60)*VLOOKUP(C850,Employees!A:J,10,0)*2</f>
        <v>0</v>
      </c>
      <c r="N850" s="24">
        <f t="shared" si="372"/>
        <v>0</v>
      </c>
      <c r="O850" s="25">
        <f>(N850/60)*VLOOKUP(C850,Employees!A:J,10,0)</f>
        <v>0</v>
      </c>
      <c r="P850" s="23">
        <f>IF(G850="غياب",VLOOKUP(C850,Employees!$A$3:$J$36,9,FALSE()),0)</f>
        <v>0</v>
      </c>
    </row>
    <row r="851" spans="1:16" ht="15" customHeight="1">
      <c r="A851" s="17" t="s">
        <v>84</v>
      </c>
      <c r="B851" s="19" t="s">
        <v>68</v>
      </c>
      <c r="C851" s="19" t="s">
        <v>49</v>
      </c>
      <c r="D851" s="19" t="str">
        <f>VLOOKUP(C851,Employees!A:J,2,0)</f>
        <v>يونس خالد</v>
      </c>
      <c r="E851" s="20">
        <v>0.375</v>
      </c>
      <c r="F851" s="20">
        <v>0.875</v>
      </c>
      <c r="G851" s="21" t="s">
        <v>69</v>
      </c>
      <c r="H851" s="20">
        <f t="shared" si="369"/>
        <v>0.375</v>
      </c>
      <c r="I851" s="20">
        <v>0.875</v>
      </c>
      <c r="J851" s="22">
        <f t="shared" si="370"/>
        <v>0</v>
      </c>
      <c r="K851" s="47">
        <f>(J851/60)*VLOOKUP(C851,Employees!A:J,10,0)*1.5</f>
        <v>0</v>
      </c>
      <c r="L851" s="22">
        <f t="shared" si="371"/>
        <v>0</v>
      </c>
      <c r="M851" s="23">
        <f>(L851/60)*VLOOKUP(C851,Employees!A:J,10,0)*2</f>
        <v>0</v>
      </c>
      <c r="N851" s="24">
        <f t="shared" si="372"/>
        <v>0</v>
      </c>
      <c r="O851" s="25">
        <f>(N851/60)*VLOOKUP(C851,Employees!A:J,10,0)</f>
        <v>0</v>
      </c>
      <c r="P851" s="23">
        <f>IF(G851="غياب",VLOOKUP(C851,Employees!$A$3:$J$36,9,FALSE()),0)</f>
        <v>0</v>
      </c>
    </row>
    <row r="852" spans="1:16" ht="15" customHeight="1">
      <c r="A852" s="17" t="s">
        <v>85</v>
      </c>
      <c r="B852" s="19" t="s">
        <v>71</v>
      </c>
      <c r="C852" s="19" t="s">
        <v>49</v>
      </c>
      <c r="D852" s="19" t="str">
        <f>VLOOKUP(C852,Employees!A:J,2,0)</f>
        <v>يونس خالد</v>
      </c>
      <c r="E852" s="20">
        <v>0.375</v>
      </c>
      <c r="F852" s="20">
        <v>0.875</v>
      </c>
      <c r="G852" s="21" t="s">
        <v>69</v>
      </c>
      <c r="H852" s="20">
        <f t="shared" si="369"/>
        <v>0.375</v>
      </c>
      <c r="I852" s="20">
        <v>0.875</v>
      </c>
      <c r="J852" s="22">
        <f t="shared" si="370"/>
        <v>0</v>
      </c>
      <c r="K852" s="47">
        <f>(J852/60)*VLOOKUP(C852,Employees!A:J,10,0)*1.5</f>
        <v>0</v>
      </c>
      <c r="L852" s="22">
        <f t="shared" si="371"/>
        <v>0</v>
      </c>
      <c r="M852" s="23">
        <f>(L852/60)*VLOOKUP(C852,Employees!A:J,10,0)*2</f>
        <v>0</v>
      </c>
      <c r="N852" s="24">
        <f t="shared" si="372"/>
        <v>0</v>
      </c>
      <c r="O852" s="25">
        <f>(N852/60)*VLOOKUP(C852,Employees!A:J,10,0)</f>
        <v>0</v>
      </c>
      <c r="P852" s="23">
        <f>IF(G852="غياب",VLOOKUP(C852,Employees!$A$3:$J$36,9,FALSE()),0)</f>
        <v>0</v>
      </c>
    </row>
    <row r="853" spans="1:16" ht="15" customHeight="1">
      <c r="A853" s="17" t="s">
        <v>86</v>
      </c>
      <c r="B853" s="19" t="s">
        <v>73</v>
      </c>
      <c r="C853" s="19" t="s">
        <v>49</v>
      </c>
      <c r="D853" s="19" t="str">
        <f>VLOOKUP(C853,Employees!A:J,2,0)</f>
        <v>يونس خالد</v>
      </c>
      <c r="E853" s="20">
        <v>0.375</v>
      </c>
      <c r="F853" s="20">
        <v>0.875</v>
      </c>
      <c r="G853" s="21" t="s">
        <v>69</v>
      </c>
      <c r="H853" s="20">
        <f t="shared" si="369"/>
        <v>0.375</v>
      </c>
      <c r="I853" s="20">
        <v>0.91111111111111109</v>
      </c>
      <c r="J853" s="22">
        <f t="shared" si="370"/>
        <v>0</v>
      </c>
      <c r="K853" s="47">
        <f>(J853/60)*VLOOKUP(C853,Employees!A:J,10,0)*1.5</f>
        <v>0</v>
      </c>
      <c r="L853" s="22">
        <f t="shared" si="371"/>
        <v>0</v>
      </c>
      <c r="M853" s="23">
        <f>(L853/60)*VLOOKUP(C853,Employees!A:J,10,0)*2</f>
        <v>0</v>
      </c>
      <c r="N853" s="24">
        <f t="shared" si="372"/>
        <v>51.999999999999972</v>
      </c>
      <c r="O853" s="25">
        <f>(N853/60)*VLOOKUP(C853,Employees!A:J,10,0)</f>
        <v>25.411522633744841</v>
      </c>
      <c r="P853" s="23">
        <f>IF(G853="غياب",VLOOKUP(C853,Employees!$A$3:$J$36,9,FALSE()),0)</f>
        <v>0</v>
      </c>
    </row>
    <row r="854" spans="1:16" ht="15" customHeight="1">
      <c r="A854" s="17" t="s">
        <v>87</v>
      </c>
      <c r="B854" s="19" t="s">
        <v>75</v>
      </c>
      <c r="C854" s="19" t="s">
        <v>49</v>
      </c>
      <c r="D854" s="19" t="str">
        <f>VLOOKUP(C854,Employees!A:J,2,0)</f>
        <v>يونس خالد</v>
      </c>
      <c r="E854" s="20">
        <v>0.41666666666666702</v>
      </c>
      <c r="F854" s="20">
        <v>0.91666666666666696</v>
      </c>
      <c r="G854" s="21" t="s">
        <v>69</v>
      </c>
      <c r="H854" s="20">
        <f t="shared" si="369"/>
        <v>0.41666666666666702</v>
      </c>
      <c r="I854" s="20">
        <v>0.91597222222222219</v>
      </c>
      <c r="J854" s="22">
        <f t="shared" si="370"/>
        <v>0</v>
      </c>
      <c r="K854" s="47">
        <f>(J854/60)*VLOOKUP(C854,Employees!A:J,10,0)*1.5</f>
        <v>0</v>
      </c>
      <c r="L854" s="22">
        <f t="shared" si="371"/>
        <v>0</v>
      </c>
      <c r="M854" s="23">
        <f>(L854/60)*VLOOKUP(C854,Employees!A:J,10,0)*2</f>
        <v>0</v>
      </c>
      <c r="N854" s="24">
        <f t="shared" si="372"/>
        <v>0</v>
      </c>
      <c r="O854" s="25">
        <f>(N854/60)*VLOOKUP(C854,Employees!A:J,10,0)</f>
        <v>0</v>
      </c>
      <c r="P854" s="23">
        <f>IF(G854="غياب",VLOOKUP(C854,Employees!$A$3:$J$36,9,FALSE()),0)</f>
        <v>0</v>
      </c>
    </row>
    <row r="855" spans="1:16" ht="15" customHeight="1">
      <c r="A855" s="26" t="s">
        <v>88</v>
      </c>
      <c r="B855" s="28" t="s">
        <v>77</v>
      </c>
      <c r="C855" s="28" t="s">
        <v>49</v>
      </c>
      <c r="D855" s="28" t="str">
        <f>VLOOKUP(C855,Employees!A:J,2,0)</f>
        <v>يونس خالد</v>
      </c>
      <c r="E855" s="29" t="s">
        <v>78</v>
      </c>
      <c r="F855" s="29" t="s">
        <v>78</v>
      </c>
      <c r="G855" s="27" t="s">
        <v>79</v>
      </c>
      <c r="H855" s="29" t="s">
        <v>78</v>
      </c>
      <c r="I855" s="29" t="s">
        <v>78</v>
      </c>
      <c r="J855" s="22" t="s">
        <v>78</v>
      </c>
      <c r="K855" s="47" t="s">
        <v>78</v>
      </c>
      <c r="L855" s="22" t="s">
        <v>78</v>
      </c>
      <c r="M855" s="23" t="s">
        <v>78</v>
      </c>
      <c r="N855" s="24" t="s">
        <v>78</v>
      </c>
      <c r="O855" s="24" t="s">
        <v>78</v>
      </c>
      <c r="P855" s="23">
        <f>IF(G855="غياب",VLOOKUP(C855,Employees!$A$3:$J$36,9,FALSE()),0)</f>
        <v>0</v>
      </c>
    </row>
    <row r="856" spans="1:16" ht="15" customHeight="1">
      <c r="A856" s="26" t="s">
        <v>89</v>
      </c>
      <c r="B856" s="28" t="s">
        <v>81</v>
      </c>
      <c r="C856" s="28" t="s">
        <v>49</v>
      </c>
      <c r="D856" s="28" t="str">
        <f>VLOOKUP(C856,Employees!A:J,2,0)</f>
        <v>يونس خالد</v>
      </c>
      <c r="E856" s="29" t="s">
        <v>78</v>
      </c>
      <c r="F856" s="29" t="s">
        <v>78</v>
      </c>
      <c r="G856" s="27" t="s">
        <v>79</v>
      </c>
      <c r="H856" s="29" t="s">
        <v>78</v>
      </c>
      <c r="I856" s="29" t="s">
        <v>78</v>
      </c>
      <c r="J856" s="22" t="s">
        <v>78</v>
      </c>
      <c r="K856" s="47" t="s">
        <v>78</v>
      </c>
      <c r="L856" s="22" t="s">
        <v>78</v>
      </c>
      <c r="M856" s="23" t="s">
        <v>78</v>
      </c>
      <c r="N856" s="24" t="s">
        <v>78</v>
      </c>
      <c r="O856" s="24" t="s">
        <v>78</v>
      </c>
      <c r="P856" s="23">
        <f>IF(G856="غياب",VLOOKUP(C856,Employees!$A$3:$J$36,9,FALSE()),0)</f>
        <v>0</v>
      </c>
    </row>
    <row r="857" spans="1:16" ht="15" customHeight="1">
      <c r="A857" s="17" t="s">
        <v>90</v>
      </c>
      <c r="B857" s="19" t="s">
        <v>83</v>
      </c>
      <c r="C857" s="19" t="s">
        <v>49</v>
      </c>
      <c r="D857" s="19" t="str">
        <f>VLOOKUP(C857,Employees!A:J,2,0)</f>
        <v>يونس خالد</v>
      </c>
      <c r="E857" s="20">
        <v>0.41666666666666702</v>
      </c>
      <c r="F857" s="20">
        <v>0.91666666666666696</v>
      </c>
      <c r="G857" s="21" t="s">
        <v>69</v>
      </c>
      <c r="H857" s="20">
        <f t="shared" ref="H857:H861" si="373">E857</f>
        <v>0.41666666666666702</v>
      </c>
      <c r="I857" s="20">
        <v>0.93263888888888891</v>
      </c>
      <c r="J857" s="22">
        <f t="shared" ref="J857:J861" si="374">IF(OR(H857="",G857="غياب",G857="إجازة أسبوعية"),0,
IF(H857&gt;=E857-TIME(0,20,0),0,
IF(H857&gt;=E857-TIME(0,30,0),30,(E857-H857)*1440)))</f>
        <v>0</v>
      </c>
      <c r="K857" s="47">
        <f>(J857/60)*VLOOKUP(C857,Employees!A:J,10,0)*1.5</f>
        <v>0</v>
      </c>
      <c r="L857" s="22">
        <f t="shared" ref="L857:L861" si="375">IF(OR(H857="",G857="غياب",G857="إجازة أسبوعية"),0,
IF(H857&lt;=E857+TIME(0,30,0),0,
30+((H857-(E857+TIME(0,30,0)))*1440)))</f>
        <v>0</v>
      </c>
      <c r="M857" s="23">
        <f>(L857/60)*VLOOKUP(C857,Employees!A:J,10,0)*2</f>
        <v>0</v>
      </c>
      <c r="N857" s="24">
        <f t="shared" ref="N857:N861" si="376">IF(OR(I857="",G857="غياب",G857="إجازة أسبوعية",I857&lt;=F857),0,
IF(MOD(I857-F857,1)&lt;=TIME(0,25,0),0,MAX(0,(I857-F857)*1440)))</f>
        <v>0</v>
      </c>
      <c r="O857" s="25">
        <f>(N857/60)*VLOOKUP(C857,Employees!A:J,10,0)</f>
        <v>0</v>
      </c>
      <c r="P857" s="23">
        <f>IF(G857="غياب",VLOOKUP(C857,Employees!$A$3:$J$36,9,FALSE()),0)</f>
        <v>0</v>
      </c>
    </row>
    <row r="858" spans="1:16" ht="15" customHeight="1">
      <c r="A858" s="17" t="s">
        <v>91</v>
      </c>
      <c r="B858" s="19" t="s">
        <v>68</v>
      </c>
      <c r="C858" s="19" t="s">
        <v>49</v>
      </c>
      <c r="D858" s="19" t="str">
        <f>VLOOKUP(C858,Employees!A:J,2,0)</f>
        <v>يونس خالد</v>
      </c>
      <c r="E858" s="20">
        <v>0.41666666666666702</v>
      </c>
      <c r="F858" s="20">
        <v>0.91666666666666696</v>
      </c>
      <c r="G858" s="21" t="s">
        <v>69</v>
      </c>
      <c r="H858" s="20">
        <f t="shared" si="373"/>
        <v>0.41666666666666702</v>
      </c>
      <c r="I858" s="20">
        <v>0.9145833333333333</v>
      </c>
      <c r="J858" s="22">
        <f t="shared" si="374"/>
        <v>0</v>
      </c>
      <c r="K858" s="47">
        <f>(J858/60)*VLOOKUP(C858,Employees!A:J,10,0)*1.5</f>
        <v>0</v>
      </c>
      <c r="L858" s="22">
        <f t="shared" si="375"/>
        <v>0</v>
      </c>
      <c r="M858" s="23">
        <f>(L858/60)*VLOOKUP(C858,Employees!A:J,10,0)*2</f>
        <v>0</v>
      </c>
      <c r="N858" s="24">
        <f t="shared" si="376"/>
        <v>0</v>
      </c>
      <c r="O858" s="25">
        <f>(N858/60)*VLOOKUP(C858,Employees!A:J,10,0)</f>
        <v>0</v>
      </c>
      <c r="P858" s="23">
        <f>IF(G858="غياب",VLOOKUP(C858,Employees!$A$3:$J$36,9,FALSE()),0)</f>
        <v>0</v>
      </c>
    </row>
    <row r="859" spans="1:16" ht="15" customHeight="1">
      <c r="A859" s="17" t="s">
        <v>92</v>
      </c>
      <c r="B859" s="19" t="s">
        <v>71</v>
      </c>
      <c r="C859" s="19" t="s">
        <v>49</v>
      </c>
      <c r="D859" s="19" t="str">
        <f>VLOOKUP(C859,Employees!A:J,2,0)</f>
        <v>يونس خالد</v>
      </c>
      <c r="E859" s="20">
        <v>0.41666666666666702</v>
      </c>
      <c r="F859" s="20">
        <v>0.91666666666666696</v>
      </c>
      <c r="G859" s="21" t="s">
        <v>69</v>
      </c>
      <c r="H859" s="20">
        <f t="shared" si="373"/>
        <v>0.41666666666666702</v>
      </c>
      <c r="I859" s="20">
        <v>0.93333333333333335</v>
      </c>
      <c r="J859" s="22">
        <f t="shared" si="374"/>
        <v>0</v>
      </c>
      <c r="K859" s="47">
        <f>(J859/60)*VLOOKUP(C859,Employees!A:J,10,0)*1.5</f>
        <v>0</v>
      </c>
      <c r="L859" s="22">
        <f t="shared" si="375"/>
        <v>0</v>
      </c>
      <c r="M859" s="23">
        <f>(L859/60)*VLOOKUP(C859,Employees!A:J,10,0)*2</f>
        <v>0</v>
      </c>
      <c r="N859" s="24">
        <f t="shared" si="376"/>
        <v>0</v>
      </c>
      <c r="O859" s="25">
        <f>(N859/60)*VLOOKUP(C859,Employees!A:J,10,0)</f>
        <v>0</v>
      </c>
      <c r="P859" s="23">
        <f>IF(G859="غياب",VLOOKUP(C859,Employees!$A$3:$J$36,9,FALSE()),0)</f>
        <v>0</v>
      </c>
    </row>
    <row r="860" spans="1:16" ht="15" customHeight="1">
      <c r="A860" s="17" t="s">
        <v>93</v>
      </c>
      <c r="B860" s="19" t="s">
        <v>73</v>
      </c>
      <c r="C860" s="19" t="s">
        <v>49</v>
      </c>
      <c r="D860" s="19" t="str">
        <f>VLOOKUP(C860,Employees!A:J,2,0)</f>
        <v>يونس خالد</v>
      </c>
      <c r="E860" s="20">
        <v>0.41666666666666702</v>
      </c>
      <c r="F860" s="20">
        <v>0.91666666666666696</v>
      </c>
      <c r="G860" s="21" t="s">
        <v>69</v>
      </c>
      <c r="H860" s="20">
        <f t="shared" si="373"/>
        <v>0.41666666666666702</v>
      </c>
      <c r="I860" s="20">
        <v>0.91666666666666663</v>
      </c>
      <c r="J860" s="22">
        <f t="shared" si="374"/>
        <v>0</v>
      </c>
      <c r="K860" s="47">
        <f>(J860/60)*VLOOKUP(C860,Employees!A:J,10,0)*1.5</f>
        <v>0</v>
      </c>
      <c r="L860" s="22">
        <f t="shared" si="375"/>
        <v>0</v>
      </c>
      <c r="M860" s="23">
        <f>(L860/60)*VLOOKUP(C860,Employees!A:J,10,0)*2</f>
        <v>0</v>
      </c>
      <c r="N860" s="24">
        <f t="shared" si="376"/>
        <v>0</v>
      </c>
      <c r="O860" s="25">
        <f>(N860/60)*VLOOKUP(C860,Employees!A:J,10,0)</f>
        <v>0</v>
      </c>
      <c r="P860" s="23">
        <f>IF(G860="غياب",VLOOKUP(C860,Employees!$A$3:$J$36,9,FALSE()),0)</f>
        <v>0</v>
      </c>
    </row>
    <row r="861" spans="1:16" ht="15" customHeight="1">
      <c r="A861" s="17" t="s">
        <v>94</v>
      </c>
      <c r="B861" s="19" t="s">
        <v>75</v>
      </c>
      <c r="C861" s="19" t="s">
        <v>49</v>
      </c>
      <c r="D861" s="19" t="str">
        <f>VLOOKUP(C861,Employees!A:J,2,0)</f>
        <v>يونس خالد</v>
      </c>
      <c r="E861" s="20">
        <v>0.41666666666666702</v>
      </c>
      <c r="F861" s="20">
        <v>0.91666666666666696</v>
      </c>
      <c r="G861" s="21" t="s">
        <v>69</v>
      </c>
      <c r="H861" s="20">
        <f t="shared" si="373"/>
        <v>0.41666666666666702</v>
      </c>
      <c r="I861" s="20">
        <v>1.0173611111111112</v>
      </c>
      <c r="J861" s="22">
        <f t="shared" si="374"/>
        <v>0</v>
      </c>
      <c r="K861" s="47">
        <f>(J861/60)*VLOOKUP(C861,Employees!A:J,10,0)*1.5</f>
        <v>0</v>
      </c>
      <c r="L861" s="22">
        <f t="shared" si="375"/>
        <v>0</v>
      </c>
      <c r="M861" s="23">
        <f>(L861/60)*VLOOKUP(C861,Employees!A:J,10,0)*2</f>
        <v>0</v>
      </c>
      <c r="N861" s="24">
        <f t="shared" si="376"/>
        <v>144.99999999999966</v>
      </c>
      <c r="O861" s="25">
        <f>(N861/60)*VLOOKUP(C861,Employees!A:J,10,0)</f>
        <v>70.859053497942227</v>
      </c>
      <c r="P861" s="23">
        <f>IF(G861="غياب",VLOOKUP(C861,Employees!$A$3:$J$36,9,FALSE()),0)</f>
        <v>0</v>
      </c>
    </row>
    <row r="862" spans="1:16" ht="15" customHeight="1">
      <c r="A862" s="26" t="s">
        <v>95</v>
      </c>
      <c r="B862" s="28" t="s">
        <v>77</v>
      </c>
      <c r="C862" s="28" t="s">
        <v>49</v>
      </c>
      <c r="D862" s="28" t="str">
        <f>VLOOKUP(C862,Employees!A:J,2,0)</f>
        <v>يونس خالد</v>
      </c>
      <c r="E862" s="29" t="s">
        <v>78</v>
      </c>
      <c r="F862" s="29" t="s">
        <v>78</v>
      </c>
      <c r="G862" s="27" t="s">
        <v>79</v>
      </c>
      <c r="H862" s="29" t="s">
        <v>78</v>
      </c>
      <c r="I862" s="29" t="s">
        <v>78</v>
      </c>
      <c r="J862" s="22" t="s">
        <v>78</v>
      </c>
      <c r="K862" s="47" t="s">
        <v>78</v>
      </c>
      <c r="L862" s="22" t="s">
        <v>78</v>
      </c>
      <c r="M862" s="23" t="s">
        <v>78</v>
      </c>
      <c r="N862" s="24" t="s">
        <v>78</v>
      </c>
      <c r="O862" s="24" t="s">
        <v>78</v>
      </c>
      <c r="P862" s="23">
        <f>IF(G862="غياب",VLOOKUP(C862,Employees!$A$3:$J$36,9,FALSE()),0)</f>
        <v>0</v>
      </c>
    </row>
    <row r="863" spans="1:16" ht="15" customHeight="1">
      <c r="A863" s="17" t="s">
        <v>96</v>
      </c>
      <c r="B863" s="19" t="s">
        <v>81</v>
      </c>
      <c r="C863" s="19" t="s">
        <v>49</v>
      </c>
      <c r="D863" s="19" t="str">
        <f>VLOOKUP(C863,Employees!A:J,2,0)</f>
        <v>يونس خالد</v>
      </c>
      <c r="E863" s="20">
        <v>0.41666666666666702</v>
      </c>
      <c r="F863" s="20">
        <v>0.91666666666666696</v>
      </c>
      <c r="G863" s="21" t="s">
        <v>69</v>
      </c>
      <c r="H863" s="20">
        <f t="shared" ref="H863:H868" si="377">E863</f>
        <v>0.41666666666666702</v>
      </c>
      <c r="I863" s="20">
        <v>0.9194444444444444</v>
      </c>
      <c r="J863" s="22">
        <f t="shared" ref="J863:J868" si="378">IF(OR(H863="",G863="غياب",G863="إجازة أسبوعية"),0,
IF(H863&gt;=E863-TIME(0,20,0),0,
IF(H863&gt;=E863-TIME(0,30,0),30,(E863-H863)*1440)))</f>
        <v>0</v>
      </c>
      <c r="K863" s="47">
        <f>(J863/60)*VLOOKUP(C863,Employees!A:J,10,0)*1.5</f>
        <v>0</v>
      </c>
      <c r="L863" s="22">
        <f t="shared" ref="L863:L868" si="379">IF(OR(H863="",G863="غياب",G863="إجازة أسبوعية"),0,
IF(H863&lt;=E863+TIME(0,30,0),0,
30+((H863-(E863+TIME(0,30,0)))*1440)))</f>
        <v>0</v>
      </c>
      <c r="M863" s="23">
        <f>(L863/60)*VLOOKUP(C863,Employees!A:J,10,0)*2</f>
        <v>0</v>
      </c>
      <c r="N863" s="24">
        <f t="shared" ref="N863:N868" si="380">IF(OR(I863="",G863="غياب",G863="إجازة أسبوعية",I863&lt;=F863),0,
IF(MOD(I863-F863,1)&lt;=TIME(0,25,0),0,MAX(0,(I863-F863)*1440)))</f>
        <v>0</v>
      </c>
      <c r="O863" s="25">
        <f>(N863/60)*VLOOKUP(C863,Employees!A:J,10,0)</f>
        <v>0</v>
      </c>
      <c r="P863" s="23">
        <f>IF(G863="غياب",VLOOKUP(C863,Employees!$A$3:$J$36,9,FALSE()),0)</f>
        <v>0</v>
      </c>
    </row>
    <row r="864" spans="1:16" ht="15" customHeight="1">
      <c r="A864" s="17" t="s">
        <v>97</v>
      </c>
      <c r="B864" s="19" t="s">
        <v>83</v>
      </c>
      <c r="C864" s="19" t="s">
        <v>49</v>
      </c>
      <c r="D864" s="19" t="str">
        <f>VLOOKUP(C864,Employees!A:J,2,0)</f>
        <v>يونس خالد</v>
      </c>
      <c r="E864" s="20">
        <v>0.41666666666666702</v>
      </c>
      <c r="F864" s="20">
        <v>0.91666666666666696</v>
      </c>
      <c r="G864" s="21" t="s">
        <v>69</v>
      </c>
      <c r="H864" s="20">
        <f t="shared" si="377"/>
        <v>0.41666666666666702</v>
      </c>
      <c r="I864" s="20">
        <v>0.95625000000000004</v>
      </c>
      <c r="J864" s="22">
        <f t="shared" si="378"/>
        <v>0</v>
      </c>
      <c r="K864" s="47">
        <f>(J864/60)*VLOOKUP(C864,Employees!A:J,10,0)*1.5</f>
        <v>0</v>
      </c>
      <c r="L864" s="22">
        <f t="shared" si="379"/>
        <v>0</v>
      </c>
      <c r="M864" s="23">
        <f>(L864/60)*VLOOKUP(C864,Employees!A:J,10,0)*2</f>
        <v>0</v>
      </c>
      <c r="N864" s="24">
        <f t="shared" si="380"/>
        <v>56.999999999999638</v>
      </c>
      <c r="O864" s="25">
        <f>(N864/60)*VLOOKUP(C864,Employees!A:J,10,0)</f>
        <v>27.854938271604762</v>
      </c>
      <c r="P864" s="23">
        <f>IF(G864="غياب",VLOOKUP(C864,Employees!$A$3:$J$36,9,FALSE()),0)</f>
        <v>0</v>
      </c>
    </row>
    <row r="865" spans="1:16" ht="15" customHeight="1">
      <c r="A865" s="17" t="s">
        <v>98</v>
      </c>
      <c r="B865" s="19" t="s">
        <v>68</v>
      </c>
      <c r="C865" s="19" t="s">
        <v>49</v>
      </c>
      <c r="D865" s="19" t="str">
        <f>VLOOKUP(C865,Employees!A:J,2,0)</f>
        <v>يونس خالد</v>
      </c>
      <c r="E865" s="20">
        <v>0.41666666666666702</v>
      </c>
      <c r="F865" s="20">
        <v>0.91666666666666696</v>
      </c>
      <c r="G865" s="21" t="s">
        <v>69</v>
      </c>
      <c r="H865" s="20">
        <f t="shared" si="377"/>
        <v>0.41666666666666702</v>
      </c>
      <c r="I865" s="20">
        <v>0.91666666666666663</v>
      </c>
      <c r="J865" s="22">
        <f t="shared" si="378"/>
        <v>0</v>
      </c>
      <c r="K865" s="47">
        <f>(J865/60)*VLOOKUP(C865,Employees!A:J,10,0)*1.5</f>
        <v>0</v>
      </c>
      <c r="L865" s="22">
        <f t="shared" si="379"/>
        <v>0</v>
      </c>
      <c r="M865" s="23">
        <f>(L865/60)*VLOOKUP(C865,Employees!A:J,10,0)*2</f>
        <v>0</v>
      </c>
      <c r="N865" s="24">
        <f t="shared" si="380"/>
        <v>0</v>
      </c>
      <c r="O865" s="25">
        <f>(N865/60)*VLOOKUP(C865,Employees!A:J,10,0)</f>
        <v>0</v>
      </c>
      <c r="P865" s="23">
        <f>IF(G865="غياب",VLOOKUP(C865,Employees!$A$3:$J$36,9,FALSE()),0)</f>
        <v>0</v>
      </c>
    </row>
    <row r="866" spans="1:16" ht="15" customHeight="1">
      <c r="A866" s="17" t="s">
        <v>99</v>
      </c>
      <c r="B866" s="19" t="s">
        <v>71</v>
      </c>
      <c r="C866" s="19" t="s">
        <v>49</v>
      </c>
      <c r="D866" s="19" t="str">
        <f>VLOOKUP(C866,Employees!A:J,2,0)</f>
        <v>يونس خالد</v>
      </c>
      <c r="E866" s="20">
        <v>0.41666666666666702</v>
      </c>
      <c r="F866" s="20">
        <v>0.91666666666666696</v>
      </c>
      <c r="G866" s="21" t="s">
        <v>69</v>
      </c>
      <c r="H866" s="20">
        <f t="shared" si="377"/>
        <v>0.41666666666666702</v>
      </c>
      <c r="I866" s="20">
        <v>0.95833333333333337</v>
      </c>
      <c r="J866" s="22">
        <f t="shared" si="378"/>
        <v>0</v>
      </c>
      <c r="K866" s="47">
        <f>(J866/60)*VLOOKUP(C866,Employees!A:J,10,0)*1.5</f>
        <v>0</v>
      </c>
      <c r="L866" s="22">
        <f t="shared" si="379"/>
        <v>0</v>
      </c>
      <c r="M866" s="23">
        <f>(L866/60)*VLOOKUP(C866,Employees!A:J,10,0)*2</f>
        <v>0</v>
      </c>
      <c r="N866" s="24">
        <f t="shared" si="380"/>
        <v>59.999999999999631</v>
      </c>
      <c r="O866" s="25">
        <f>(N866/60)*VLOOKUP(C866,Employees!A:J,10,0)</f>
        <v>29.32098765432081</v>
      </c>
      <c r="P866" s="23">
        <f>IF(G866="غياب",VLOOKUP(C866,Employees!$A$3:$J$36,9,FALSE()),0)</f>
        <v>0</v>
      </c>
    </row>
    <row r="867" spans="1:16" ht="15" customHeight="1">
      <c r="A867" s="17" t="s">
        <v>100</v>
      </c>
      <c r="B867" s="19" t="s">
        <v>73</v>
      </c>
      <c r="C867" s="19" t="s">
        <v>49</v>
      </c>
      <c r="D867" s="19" t="str">
        <f>VLOOKUP(C867,Employees!A:J,2,0)</f>
        <v>يونس خالد</v>
      </c>
      <c r="E867" s="20">
        <v>0.375</v>
      </c>
      <c r="F867" s="20">
        <v>0.875</v>
      </c>
      <c r="G867" s="21" t="s">
        <v>69</v>
      </c>
      <c r="H867" s="20">
        <f t="shared" si="377"/>
        <v>0.375</v>
      </c>
      <c r="I867" s="20">
        <v>0.88263888888888886</v>
      </c>
      <c r="J867" s="22">
        <f t="shared" si="378"/>
        <v>0</v>
      </c>
      <c r="K867" s="47">
        <f>(J867/60)*VLOOKUP(C867,Employees!A:J,10,0)*1.5</f>
        <v>0</v>
      </c>
      <c r="L867" s="22">
        <f t="shared" si="379"/>
        <v>0</v>
      </c>
      <c r="M867" s="23">
        <f>(L867/60)*VLOOKUP(C867,Employees!A:J,10,0)*2</f>
        <v>0</v>
      </c>
      <c r="N867" s="24">
        <f t="shared" si="380"/>
        <v>0</v>
      </c>
      <c r="O867" s="25">
        <f>(N867/60)*VLOOKUP(C867,Employees!A:J,10,0)</f>
        <v>0</v>
      </c>
      <c r="P867" s="23">
        <f>IF(G867="غياب",VLOOKUP(C867,Employees!$A$3:$J$36,9,FALSE()),0)</f>
        <v>0</v>
      </c>
    </row>
    <row r="868" spans="1:16" ht="15" customHeight="1">
      <c r="A868" s="17" t="s">
        <v>101</v>
      </c>
      <c r="B868" s="19" t="s">
        <v>75</v>
      </c>
      <c r="C868" s="19" t="s">
        <v>49</v>
      </c>
      <c r="D868" s="19" t="str">
        <f>VLOOKUP(C868,Employees!A:J,2,0)</f>
        <v>يونس خالد</v>
      </c>
      <c r="E868" s="20">
        <v>0.375</v>
      </c>
      <c r="F868" s="20">
        <v>0.875</v>
      </c>
      <c r="G868" s="21" t="s">
        <v>69</v>
      </c>
      <c r="H868" s="20">
        <f t="shared" si="377"/>
        <v>0.375</v>
      </c>
      <c r="I868" s="20">
        <v>0.91111111111111109</v>
      </c>
      <c r="J868" s="22">
        <f t="shared" si="378"/>
        <v>0</v>
      </c>
      <c r="K868" s="47">
        <f>(J868/60)*VLOOKUP(C868,Employees!A:J,10,0)*1.5</f>
        <v>0</v>
      </c>
      <c r="L868" s="22">
        <f t="shared" si="379"/>
        <v>0</v>
      </c>
      <c r="M868" s="23">
        <f>(L868/60)*VLOOKUP(C868,Employees!A:J,10,0)*2</f>
        <v>0</v>
      </c>
      <c r="N868" s="24">
        <f t="shared" si="380"/>
        <v>51.999999999999972</v>
      </c>
      <c r="O868" s="25">
        <f>(N868/60)*VLOOKUP(C868,Employees!A:J,10,0)</f>
        <v>25.411522633744841</v>
      </c>
      <c r="P868" s="23">
        <f>IF(G868="غياب",VLOOKUP(C868,Employees!$A$3:$J$36,9,FALSE()),0)</f>
        <v>0</v>
      </c>
    </row>
    <row r="869" spans="1:16" ht="15" customHeight="1">
      <c r="A869" s="26" t="s">
        <v>102</v>
      </c>
      <c r="B869" s="28" t="s">
        <v>77</v>
      </c>
      <c r="C869" s="28" t="s">
        <v>49</v>
      </c>
      <c r="D869" s="28" t="str">
        <f>VLOOKUP(C869,Employees!A:J,2,0)</f>
        <v>يونس خالد</v>
      </c>
      <c r="E869" s="29" t="s">
        <v>78</v>
      </c>
      <c r="F869" s="29" t="s">
        <v>78</v>
      </c>
      <c r="G869" s="27" t="s">
        <v>79</v>
      </c>
      <c r="H869" s="29" t="s">
        <v>78</v>
      </c>
      <c r="I869" s="29" t="s">
        <v>78</v>
      </c>
      <c r="J869" s="22" t="s">
        <v>78</v>
      </c>
      <c r="K869" s="47" t="s">
        <v>78</v>
      </c>
      <c r="L869" s="22" t="s">
        <v>78</v>
      </c>
      <c r="M869" s="23" t="s">
        <v>78</v>
      </c>
      <c r="N869" s="24" t="s">
        <v>78</v>
      </c>
      <c r="O869" s="24" t="s">
        <v>78</v>
      </c>
      <c r="P869" s="23">
        <f>IF(G869="غياب",VLOOKUP(C869,Employees!$A$3:$J$36,9,FALSE()),0)</f>
        <v>0</v>
      </c>
    </row>
    <row r="870" spans="1:16" ht="15" customHeight="1">
      <c r="A870" s="17" t="s">
        <v>103</v>
      </c>
      <c r="B870" s="19" t="s">
        <v>81</v>
      </c>
      <c r="C870" s="19" t="s">
        <v>49</v>
      </c>
      <c r="D870" s="19" t="str">
        <f>VLOOKUP(C870,Employees!A:J,2,0)</f>
        <v>يونس خالد</v>
      </c>
      <c r="E870" s="20">
        <v>0.375</v>
      </c>
      <c r="F870" s="20">
        <v>0.875</v>
      </c>
      <c r="G870" s="21" t="s">
        <v>69</v>
      </c>
      <c r="H870" s="20">
        <f t="shared" ref="H870:H877" si="381">E870</f>
        <v>0.375</v>
      </c>
      <c r="I870" s="20">
        <v>0.92708333333333337</v>
      </c>
      <c r="J870" s="22">
        <f t="shared" ref="J870:J877" si="382">IF(OR(H870="",G870="غياب",G870="إجازة أسبوعية"),0,
IF(H870&gt;=E870-TIME(0,20,0),0,
IF(H870&gt;=E870-TIME(0,30,0),30,(E870-H870)*1440)))</f>
        <v>0</v>
      </c>
      <c r="K870" s="47">
        <f>(J870/60)*VLOOKUP(C870,Employees!A:J,10,0)*1.5</f>
        <v>0</v>
      </c>
      <c r="L870" s="22">
        <f t="shared" ref="L870:L877" si="383">IF(OR(H870="",G870="غياب",G870="إجازة أسبوعية"),0,
IF(H870&lt;=E870+TIME(0,30,0),0,
30+((H870-(E870+TIME(0,30,0)))*1440)))</f>
        <v>0</v>
      </c>
      <c r="M870" s="23">
        <f>(L870/60)*VLOOKUP(C870,Employees!A:J,10,0)*2</f>
        <v>0</v>
      </c>
      <c r="N870" s="24">
        <f t="shared" ref="N870:N877" si="384">IF(OR(I870="",G870="غياب",G870="إجازة أسبوعية",I870&lt;=F870),0,
IF(MOD(I870-F870,1)&lt;=TIME(0,25,0),0,MAX(0,(I870-F870)*1440)))</f>
        <v>75.000000000000057</v>
      </c>
      <c r="O870" s="25">
        <f>(N870/60)*VLOOKUP(C870,Employees!A:J,10,0)</f>
        <v>36.651234567901263</v>
      </c>
      <c r="P870" s="23">
        <f>IF(G870="غياب",VLOOKUP(C870,Employees!$A$3:$J$36,9,FALSE()),0)</f>
        <v>0</v>
      </c>
    </row>
    <row r="871" spans="1:16" ht="15" customHeight="1">
      <c r="A871" s="17" t="s">
        <v>104</v>
      </c>
      <c r="B871" s="19" t="s">
        <v>83</v>
      </c>
      <c r="C871" s="19" t="s">
        <v>49</v>
      </c>
      <c r="D871" s="19" t="str">
        <f>VLOOKUP(C871,Employees!A:J,2,0)</f>
        <v>يونس خالد</v>
      </c>
      <c r="E871" s="20">
        <v>0.375</v>
      </c>
      <c r="F871" s="20">
        <v>0.875</v>
      </c>
      <c r="G871" s="21" t="s">
        <v>69</v>
      </c>
      <c r="H871" s="20">
        <f t="shared" si="381"/>
        <v>0.375</v>
      </c>
      <c r="I871" s="20">
        <v>0.91736111111111107</v>
      </c>
      <c r="J871" s="22">
        <f t="shared" si="382"/>
        <v>0</v>
      </c>
      <c r="K871" s="47">
        <f>(J871/60)*VLOOKUP(C871,Employees!A:J,10,0)*1.5</f>
        <v>0</v>
      </c>
      <c r="L871" s="22">
        <f t="shared" si="383"/>
        <v>0</v>
      </c>
      <c r="M871" s="23">
        <f>(L871/60)*VLOOKUP(C871,Employees!A:J,10,0)*2</f>
        <v>0</v>
      </c>
      <c r="N871" s="24">
        <f t="shared" si="384"/>
        <v>60.999999999999943</v>
      </c>
      <c r="O871" s="25">
        <f>(N871/60)*VLOOKUP(C871,Employees!A:J,10,0)</f>
        <v>29.809670781892976</v>
      </c>
      <c r="P871" s="23">
        <f>IF(G871="غياب",VLOOKUP(C871,Employees!$A$3:$J$36,9,FALSE()),0)</f>
        <v>0</v>
      </c>
    </row>
    <row r="872" spans="1:16" ht="15" customHeight="1">
      <c r="A872" s="17" t="s">
        <v>105</v>
      </c>
      <c r="B872" s="19" t="s">
        <v>68</v>
      </c>
      <c r="C872" s="19" t="s">
        <v>49</v>
      </c>
      <c r="D872" s="19" t="str">
        <f>VLOOKUP(C872,Employees!A:J,2,0)</f>
        <v>يونس خالد</v>
      </c>
      <c r="E872" s="20">
        <v>0.375</v>
      </c>
      <c r="F872" s="20">
        <v>0.875</v>
      </c>
      <c r="G872" s="21" t="s">
        <v>69</v>
      </c>
      <c r="H872" s="20">
        <f t="shared" si="381"/>
        <v>0.375</v>
      </c>
      <c r="I872" s="20">
        <v>0.91388888888888886</v>
      </c>
      <c r="J872" s="22">
        <f t="shared" si="382"/>
        <v>0</v>
      </c>
      <c r="K872" s="47">
        <f>(J872/60)*VLOOKUP(C872,Employees!A:J,10,0)*1.5</f>
        <v>0</v>
      </c>
      <c r="L872" s="22">
        <f t="shared" si="383"/>
        <v>0</v>
      </c>
      <c r="M872" s="23">
        <f>(L872/60)*VLOOKUP(C872,Employees!A:J,10,0)*2</f>
        <v>0</v>
      </c>
      <c r="N872" s="24">
        <f t="shared" si="384"/>
        <v>55.999999999999957</v>
      </c>
      <c r="O872" s="25">
        <f>(N872/60)*VLOOKUP(C872,Employees!A:J,10,0)</f>
        <v>27.366255144032898</v>
      </c>
      <c r="P872" s="23">
        <f>IF(G872="غياب",VLOOKUP(C872,Employees!$A$3:$J$36,9,FALSE()),0)</f>
        <v>0</v>
      </c>
    </row>
    <row r="873" spans="1:16" ht="15" customHeight="1">
      <c r="A873" s="17" t="s">
        <v>106</v>
      </c>
      <c r="B873" s="19" t="s">
        <v>71</v>
      </c>
      <c r="C873" s="19" t="s">
        <v>49</v>
      </c>
      <c r="D873" s="19" t="str">
        <f>VLOOKUP(C873,Employees!A:J,2,0)</f>
        <v>يونس خالد</v>
      </c>
      <c r="E873" s="20">
        <v>0.375</v>
      </c>
      <c r="F873" s="20">
        <v>0.875</v>
      </c>
      <c r="G873" s="21" t="s">
        <v>69</v>
      </c>
      <c r="H873" s="20">
        <f t="shared" si="381"/>
        <v>0.375</v>
      </c>
      <c r="I873" s="20">
        <v>0.8833333333333333</v>
      </c>
      <c r="J873" s="22">
        <f t="shared" si="382"/>
        <v>0</v>
      </c>
      <c r="K873" s="47">
        <f>(J873/60)*VLOOKUP(C873,Employees!A:J,10,0)*1.5</f>
        <v>0</v>
      </c>
      <c r="L873" s="22">
        <f t="shared" si="383"/>
        <v>0</v>
      </c>
      <c r="M873" s="23">
        <f>(L873/60)*VLOOKUP(C873,Employees!A:J,10,0)*2</f>
        <v>0</v>
      </c>
      <c r="N873" s="24">
        <f t="shared" si="384"/>
        <v>0</v>
      </c>
      <c r="O873" s="25">
        <f>(N873/60)*VLOOKUP(C873,Employees!A:J,10,0)</f>
        <v>0</v>
      </c>
      <c r="P873" s="23">
        <f>IF(G873="غياب",VLOOKUP(C873,Employees!$A$3:$J$36,9,FALSE()),0)</f>
        <v>0</v>
      </c>
    </row>
    <row r="874" spans="1:16" ht="15" customHeight="1">
      <c r="A874" s="17" t="s">
        <v>67</v>
      </c>
      <c r="B874" s="19" t="s">
        <v>68</v>
      </c>
      <c r="C874" s="19" t="s">
        <v>50</v>
      </c>
      <c r="D874" s="19" t="str">
        <f>VLOOKUP(C874,Employees!A:J,2,0)</f>
        <v>محمد طارق</v>
      </c>
      <c r="E874" s="20">
        <v>0.375</v>
      </c>
      <c r="F874" s="20">
        <v>0.875</v>
      </c>
      <c r="G874" s="21" t="s">
        <v>69</v>
      </c>
      <c r="H874" s="20">
        <f t="shared" si="381"/>
        <v>0.375</v>
      </c>
      <c r="I874" s="20"/>
      <c r="J874" s="22">
        <f t="shared" si="382"/>
        <v>0</v>
      </c>
      <c r="K874" s="47">
        <f>(J874/60)*VLOOKUP(C874,Employees!A:J,10,0)*1.5</f>
        <v>0</v>
      </c>
      <c r="L874" s="22">
        <f t="shared" si="383"/>
        <v>0</v>
      </c>
      <c r="M874" s="23">
        <f>(L874/60)*VLOOKUP(C874,Employees!A:J,10,0)*2</f>
        <v>0</v>
      </c>
      <c r="N874" s="24">
        <f t="shared" si="384"/>
        <v>0</v>
      </c>
      <c r="O874" s="25">
        <f>(N874/60)*VLOOKUP(C874,Employees!A:J,10,0)</f>
        <v>0</v>
      </c>
      <c r="P874" s="23">
        <f>IF(G874="غياب",VLOOKUP(C874,Employees!$A$3:$J$36,9,FALSE()),0)</f>
        <v>0</v>
      </c>
    </row>
    <row r="875" spans="1:16" ht="15" customHeight="1">
      <c r="A875" s="17" t="s">
        <v>70</v>
      </c>
      <c r="B875" s="19" t="s">
        <v>71</v>
      </c>
      <c r="C875" s="19" t="s">
        <v>50</v>
      </c>
      <c r="D875" s="19" t="str">
        <f>VLOOKUP(C875,Employees!A:J,2,0)</f>
        <v>محمد طارق</v>
      </c>
      <c r="E875" s="20">
        <v>0.375</v>
      </c>
      <c r="F875" s="20">
        <v>0.875</v>
      </c>
      <c r="G875" s="21" t="s">
        <v>69</v>
      </c>
      <c r="H875" s="20">
        <f t="shared" si="381"/>
        <v>0.375</v>
      </c>
      <c r="I875" s="20"/>
      <c r="J875" s="22">
        <f t="shared" si="382"/>
        <v>0</v>
      </c>
      <c r="K875" s="47">
        <f>(J875/60)*VLOOKUP(C875,Employees!A:J,10,0)*1.5</f>
        <v>0</v>
      </c>
      <c r="L875" s="22">
        <f t="shared" si="383"/>
        <v>0</v>
      </c>
      <c r="M875" s="23">
        <f>(L875/60)*VLOOKUP(C875,Employees!A:J,10,0)*2</f>
        <v>0</v>
      </c>
      <c r="N875" s="24">
        <f t="shared" si="384"/>
        <v>0</v>
      </c>
      <c r="O875" s="25">
        <f>(N875/60)*VLOOKUP(C875,Employees!A:J,10,0)</f>
        <v>0</v>
      </c>
      <c r="P875" s="23">
        <f>IF(G875="غياب",VLOOKUP(C875,Employees!$A$3:$J$36,9,FALSE()),0)</f>
        <v>0</v>
      </c>
    </row>
    <row r="876" spans="1:16" ht="15" customHeight="1">
      <c r="A876" s="17" t="s">
        <v>72</v>
      </c>
      <c r="B876" s="19" t="s">
        <v>73</v>
      </c>
      <c r="C876" s="19" t="s">
        <v>50</v>
      </c>
      <c r="D876" s="19" t="str">
        <f>VLOOKUP(C876,Employees!A:J,2,0)</f>
        <v>محمد طارق</v>
      </c>
      <c r="E876" s="20">
        <v>0.375</v>
      </c>
      <c r="F876" s="20">
        <v>0.875</v>
      </c>
      <c r="G876" s="21" t="s">
        <v>69</v>
      </c>
      <c r="H876" s="20">
        <f t="shared" si="381"/>
        <v>0.375</v>
      </c>
      <c r="I876" s="20"/>
      <c r="J876" s="22">
        <f t="shared" si="382"/>
        <v>0</v>
      </c>
      <c r="K876" s="47">
        <f>(J876/60)*VLOOKUP(C876,Employees!A:J,10,0)*1.5</f>
        <v>0</v>
      </c>
      <c r="L876" s="22">
        <f t="shared" si="383"/>
        <v>0</v>
      </c>
      <c r="M876" s="23">
        <f>(L876/60)*VLOOKUP(C876,Employees!A:J,10,0)*2</f>
        <v>0</v>
      </c>
      <c r="N876" s="24">
        <f t="shared" si="384"/>
        <v>0</v>
      </c>
      <c r="O876" s="25">
        <f>(N876/60)*VLOOKUP(C876,Employees!A:J,10,0)</f>
        <v>0</v>
      </c>
      <c r="P876" s="23">
        <f>IF(G876="غياب",VLOOKUP(C876,Employees!$A$3:$J$36,9,FALSE()),0)</f>
        <v>0</v>
      </c>
    </row>
    <row r="877" spans="1:16" ht="15" customHeight="1">
      <c r="A877" s="17" t="s">
        <v>74</v>
      </c>
      <c r="B877" s="19" t="s">
        <v>75</v>
      </c>
      <c r="C877" s="19" t="s">
        <v>50</v>
      </c>
      <c r="D877" s="19" t="str">
        <f>VLOOKUP(C877,Employees!A:J,2,0)</f>
        <v>محمد طارق</v>
      </c>
      <c r="E877" s="20">
        <v>0.375</v>
      </c>
      <c r="F877" s="20">
        <v>0.875</v>
      </c>
      <c r="G877" s="21" t="s">
        <v>69</v>
      </c>
      <c r="H877" s="20">
        <f t="shared" si="381"/>
        <v>0.375</v>
      </c>
      <c r="I877" s="20"/>
      <c r="J877" s="22">
        <f t="shared" si="382"/>
        <v>0</v>
      </c>
      <c r="K877" s="47">
        <f>(J877/60)*VLOOKUP(C877,Employees!A:J,10,0)*1.5</f>
        <v>0</v>
      </c>
      <c r="L877" s="22">
        <f t="shared" si="383"/>
        <v>0</v>
      </c>
      <c r="M877" s="23">
        <f>(L877/60)*VLOOKUP(C877,Employees!A:J,10,0)*2</f>
        <v>0</v>
      </c>
      <c r="N877" s="24">
        <f t="shared" si="384"/>
        <v>0</v>
      </c>
      <c r="O877" s="25">
        <f>(N877/60)*VLOOKUP(C877,Employees!A:J,10,0)</f>
        <v>0</v>
      </c>
      <c r="P877" s="23">
        <f>IF(G877="غياب",VLOOKUP(C877,Employees!$A$3:$J$36,9,FALSE()),0)</f>
        <v>0</v>
      </c>
    </row>
    <row r="878" spans="1:16" ht="15" customHeight="1">
      <c r="A878" s="26" t="s">
        <v>76</v>
      </c>
      <c r="B878" s="28" t="s">
        <v>77</v>
      </c>
      <c r="C878" s="28" t="s">
        <v>50</v>
      </c>
      <c r="D878" s="28" t="str">
        <f>VLOOKUP(C878,Employees!A:J,2,0)</f>
        <v>محمد طارق</v>
      </c>
      <c r="E878" s="29" t="s">
        <v>78</v>
      </c>
      <c r="F878" s="29" t="s">
        <v>78</v>
      </c>
      <c r="G878" s="27" t="s">
        <v>79</v>
      </c>
      <c r="H878" s="29" t="s">
        <v>78</v>
      </c>
      <c r="I878" s="29" t="s">
        <v>78</v>
      </c>
      <c r="J878" s="22" t="s">
        <v>78</v>
      </c>
      <c r="K878" s="47" t="s">
        <v>78</v>
      </c>
      <c r="L878" s="22" t="s">
        <v>78</v>
      </c>
      <c r="M878" s="23" t="s">
        <v>78</v>
      </c>
      <c r="N878" s="24" t="s">
        <v>78</v>
      </c>
      <c r="O878" s="24" t="s">
        <v>78</v>
      </c>
      <c r="P878" s="23">
        <f>IF(G878="غياب",VLOOKUP(C878,Employees!$A$3:$J$36,9,FALSE()),0)</f>
        <v>0</v>
      </c>
    </row>
    <row r="879" spans="1:16" ht="15" customHeight="1">
      <c r="A879" s="17" t="s">
        <v>80</v>
      </c>
      <c r="B879" s="19" t="s">
        <v>81</v>
      </c>
      <c r="C879" s="19" t="s">
        <v>50</v>
      </c>
      <c r="D879" s="19" t="str">
        <f>VLOOKUP(C879,Employees!A:J,2,0)</f>
        <v>محمد طارق</v>
      </c>
      <c r="E879" s="20">
        <v>0.375</v>
      </c>
      <c r="F879" s="20">
        <v>0.875</v>
      </c>
      <c r="G879" s="21" t="s">
        <v>69</v>
      </c>
      <c r="H879" s="20">
        <f t="shared" ref="H879:H884" si="385">E879</f>
        <v>0.375</v>
      </c>
      <c r="I879" s="20"/>
      <c r="J879" s="22">
        <f t="shared" ref="J879:J884" si="386">IF(OR(H879="",G879="غياب",G879="إجازة أسبوعية"),0,
IF(H879&gt;=E879-TIME(0,20,0),0,
IF(H879&gt;=E879-TIME(0,30,0),30,(E879-H879)*1440)))</f>
        <v>0</v>
      </c>
      <c r="K879" s="47">
        <f>(J879/60)*VLOOKUP(C879,Employees!A:J,10,0)*1.5</f>
        <v>0</v>
      </c>
      <c r="L879" s="22">
        <f t="shared" ref="L879:L884" si="387">IF(OR(H879="",G879="غياب",G879="إجازة أسبوعية"),0,
IF(H879&lt;=E879+TIME(0,30,0),0,
30+((H879-(E879+TIME(0,30,0)))*1440)))</f>
        <v>0</v>
      </c>
      <c r="M879" s="23">
        <f>(L879/60)*VLOOKUP(C879,Employees!A:J,10,0)*2</f>
        <v>0</v>
      </c>
      <c r="N879" s="24">
        <f t="shared" ref="N879:N884" si="388">IF(OR(I879="",G879="غياب",G879="إجازة أسبوعية",I879&lt;=F879),0,
IF(MOD(I879-F879,1)&lt;=TIME(0,25,0),0,MAX(0,(I879-F879)*1440)))</f>
        <v>0</v>
      </c>
      <c r="O879" s="25">
        <f>(N879/60)*VLOOKUP(C879,Employees!A:J,10,0)</f>
        <v>0</v>
      </c>
      <c r="P879" s="23">
        <f>IF(G879="غياب",VLOOKUP(C879,Employees!$A$3:$J$36,9,FALSE()),0)</f>
        <v>0</v>
      </c>
    </row>
    <row r="880" spans="1:16" ht="15" customHeight="1">
      <c r="A880" s="17" t="s">
        <v>82</v>
      </c>
      <c r="B880" s="19" t="s">
        <v>83</v>
      </c>
      <c r="C880" s="19" t="s">
        <v>50</v>
      </c>
      <c r="D880" s="19" t="str">
        <f>VLOOKUP(C880,Employees!A:J,2,0)</f>
        <v>محمد طارق</v>
      </c>
      <c r="E880" s="20">
        <v>0.375</v>
      </c>
      <c r="F880" s="20">
        <v>0.875</v>
      </c>
      <c r="G880" s="21" t="s">
        <v>69</v>
      </c>
      <c r="H880" s="20">
        <f t="shared" si="385"/>
        <v>0.375</v>
      </c>
      <c r="I880" s="20"/>
      <c r="J880" s="22">
        <f t="shared" si="386"/>
        <v>0</v>
      </c>
      <c r="K880" s="47">
        <f>(J880/60)*VLOOKUP(C880,Employees!A:J,10,0)*1.5</f>
        <v>0</v>
      </c>
      <c r="L880" s="22">
        <f t="shared" si="387"/>
        <v>0</v>
      </c>
      <c r="M880" s="23">
        <f>(L880/60)*VLOOKUP(C880,Employees!A:J,10,0)*2</f>
        <v>0</v>
      </c>
      <c r="N880" s="24">
        <f t="shared" si="388"/>
        <v>0</v>
      </c>
      <c r="O880" s="25">
        <f>(N880/60)*VLOOKUP(C880,Employees!A:J,10,0)</f>
        <v>0</v>
      </c>
      <c r="P880" s="23">
        <f>IF(G880="غياب",VLOOKUP(C880,Employees!$A$3:$J$36,9,FALSE()),0)</f>
        <v>0</v>
      </c>
    </row>
    <row r="881" spans="1:16" ht="15" customHeight="1">
      <c r="A881" s="17" t="s">
        <v>84</v>
      </c>
      <c r="B881" s="19" t="s">
        <v>68</v>
      </c>
      <c r="C881" s="19" t="s">
        <v>50</v>
      </c>
      <c r="D881" s="19" t="str">
        <f>VLOOKUP(C881,Employees!A:J,2,0)</f>
        <v>محمد طارق</v>
      </c>
      <c r="E881" s="20">
        <v>0.375</v>
      </c>
      <c r="F881" s="20">
        <v>0.875</v>
      </c>
      <c r="G881" s="21" t="s">
        <v>69</v>
      </c>
      <c r="H881" s="20">
        <f t="shared" si="385"/>
        <v>0.375</v>
      </c>
      <c r="I881" s="20"/>
      <c r="J881" s="22">
        <f t="shared" si="386"/>
        <v>0</v>
      </c>
      <c r="K881" s="47">
        <f>(J881/60)*VLOOKUP(C881,Employees!A:J,10,0)*1.5</f>
        <v>0</v>
      </c>
      <c r="L881" s="22">
        <f t="shared" si="387"/>
        <v>0</v>
      </c>
      <c r="M881" s="23">
        <f>(L881/60)*VLOOKUP(C881,Employees!A:J,10,0)*2</f>
        <v>0</v>
      </c>
      <c r="N881" s="24">
        <f t="shared" si="388"/>
        <v>0</v>
      </c>
      <c r="O881" s="25">
        <f>(N881/60)*VLOOKUP(C881,Employees!A:J,10,0)</f>
        <v>0</v>
      </c>
      <c r="P881" s="23">
        <f>IF(G881="غياب",VLOOKUP(C881,Employees!$A$3:$J$36,9,FALSE()),0)</f>
        <v>0</v>
      </c>
    </row>
    <row r="882" spans="1:16" ht="15" customHeight="1">
      <c r="A882" s="17" t="s">
        <v>85</v>
      </c>
      <c r="B882" s="19" t="s">
        <v>71</v>
      </c>
      <c r="C882" s="19" t="s">
        <v>50</v>
      </c>
      <c r="D882" s="19" t="str">
        <f>VLOOKUP(C882,Employees!A:J,2,0)</f>
        <v>محمد طارق</v>
      </c>
      <c r="E882" s="20">
        <v>0.375</v>
      </c>
      <c r="F882" s="20">
        <v>0.875</v>
      </c>
      <c r="G882" s="21" t="s">
        <v>69</v>
      </c>
      <c r="H882" s="20">
        <f t="shared" si="385"/>
        <v>0.375</v>
      </c>
      <c r="I882" s="20"/>
      <c r="J882" s="22">
        <f t="shared" si="386"/>
        <v>0</v>
      </c>
      <c r="K882" s="47">
        <f>(J882/60)*VLOOKUP(C882,Employees!A:J,10,0)*1.5</f>
        <v>0</v>
      </c>
      <c r="L882" s="22">
        <f t="shared" si="387"/>
        <v>0</v>
      </c>
      <c r="M882" s="23">
        <f>(L882/60)*VLOOKUP(C882,Employees!A:J,10,0)*2</f>
        <v>0</v>
      </c>
      <c r="N882" s="24">
        <f t="shared" si="388"/>
        <v>0</v>
      </c>
      <c r="O882" s="25">
        <f>(N882/60)*VLOOKUP(C882,Employees!A:J,10,0)</f>
        <v>0</v>
      </c>
      <c r="P882" s="23">
        <f>IF(G882="غياب",VLOOKUP(C882,Employees!$A$3:$J$36,9,FALSE()),0)</f>
        <v>0</v>
      </c>
    </row>
    <row r="883" spans="1:16" ht="15" customHeight="1">
      <c r="A883" s="17" t="s">
        <v>86</v>
      </c>
      <c r="B883" s="19" t="s">
        <v>73</v>
      </c>
      <c r="C883" s="19" t="s">
        <v>50</v>
      </c>
      <c r="D883" s="19" t="str">
        <f>VLOOKUP(C883,Employees!A:J,2,0)</f>
        <v>محمد طارق</v>
      </c>
      <c r="E883" s="20">
        <v>0.375</v>
      </c>
      <c r="F883" s="20">
        <v>0.875</v>
      </c>
      <c r="G883" s="21" t="s">
        <v>69</v>
      </c>
      <c r="H883" s="20">
        <f t="shared" si="385"/>
        <v>0.375</v>
      </c>
      <c r="I883" s="20"/>
      <c r="J883" s="22">
        <f t="shared" si="386"/>
        <v>0</v>
      </c>
      <c r="K883" s="47">
        <f>(J883/60)*VLOOKUP(C883,Employees!A:J,10,0)*1.5</f>
        <v>0</v>
      </c>
      <c r="L883" s="22">
        <f t="shared" si="387"/>
        <v>0</v>
      </c>
      <c r="M883" s="23">
        <f>(L883/60)*VLOOKUP(C883,Employees!A:J,10,0)*2</f>
        <v>0</v>
      </c>
      <c r="N883" s="24">
        <f t="shared" si="388"/>
        <v>0</v>
      </c>
      <c r="O883" s="25">
        <f>(N883/60)*VLOOKUP(C883,Employees!A:J,10,0)</f>
        <v>0</v>
      </c>
      <c r="P883" s="23">
        <f>IF(G883="غياب",VLOOKUP(C883,Employees!$A$3:$J$36,9,FALSE()),0)</f>
        <v>0</v>
      </c>
    </row>
    <row r="884" spans="1:16" ht="15" customHeight="1">
      <c r="A884" s="17" t="s">
        <v>87</v>
      </c>
      <c r="B884" s="19" t="s">
        <v>75</v>
      </c>
      <c r="C884" s="19" t="s">
        <v>50</v>
      </c>
      <c r="D884" s="19" t="str">
        <f>VLOOKUP(C884,Employees!A:J,2,0)</f>
        <v>محمد طارق</v>
      </c>
      <c r="E884" s="20">
        <v>0.41666666666666702</v>
      </c>
      <c r="F884" s="20">
        <v>0.91666666666666696</v>
      </c>
      <c r="G884" s="21" t="s">
        <v>69</v>
      </c>
      <c r="H884" s="20">
        <f t="shared" si="385"/>
        <v>0.41666666666666702</v>
      </c>
      <c r="I884" s="20"/>
      <c r="J884" s="22">
        <f t="shared" si="386"/>
        <v>0</v>
      </c>
      <c r="K884" s="47">
        <f>(J884/60)*VLOOKUP(C884,Employees!A:J,10,0)*1.5</f>
        <v>0</v>
      </c>
      <c r="L884" s="22">
        <f t="shared" si="387"/>
        <v>0</v>
      </c>
      <c r="M884" s="23">
        <f>(L884/60)*VLOOKUP(C884,Employees!A:J,10,0)*2</f>
        <v>0</v>
      </c>
      <c r="N884" s="24">
        <f t="shared" si="388"/>
        <v>0</v>
      </c>
      <c r="O884" s="25">
        <f>(N884/60)*VLOOKUP(C884,Employees!A:J,10,0)</f>
        <v>0</v>
      </c>
      <c r="P884" s="23">
        <f>IF(G884="غياب",VLOOKUP(C884,Employees!$A$3:$J$36,9,FALSE()),0)</f>
        <v>0</v>
      </c>
    </row>
    <row r="885" spans="1:16" ht="15" customHeight="1">
      <c r="A885" s="26" t="s">
        <v>88</v>
      </c>
      <c r="B885" s="28" t="s">
        <v>77</v>
      </c>
      <c r="C885" s="28" t="s">
        <v>50</v>
      </c>
      <c r="D885" s="28" t="str">
        <f>VLOOKUP(C885,Employees!A:J,2,0)</f>
        <v>محمد طارق</v>
      </c>
      <c r="E885" s="29" t="s">
        <v>78</v>
      </c>
      <c r="F885" s="29" t="s">
        <v>78</v>
      </c>
      <c r="G885" s="27" t="s">
        <v>79</v>
      </c>
      <c r="H885" s="29" t="s">
        <v>78</v>
      </c>
      <c r="I885" s="29" t="s">
        <v>78</v>
      </c>
      <c r="J885" s="22" t="s">
        <v>78</v>
      </c>
      <c r="K885" s="47" t="s">
        <v>78</v>
      </c>
      <c r="L885" s="22" t="s">
        <v>78</v>
      </c>
      <c r="M885" s="23" t="s">
        <v>78</v>
      </c>
      <c r="N885" s="24" t="s">
        <v>78</v>
      </c>
      <c r="O885" s="24" t="s">
        <v>78</v>
      </c>
      <c r="P885" s="23">
        <f>IF(G885="غياب",VLOOKUP(C885,Employees!$A$3:$J$36,9,FALSE()),0)</f>
        <v>0</v>
      </c>
    </row>
    <row r="886" spans="1:16" ht="15" customHeight="1">
      <c r="A886" s="26" t="s">
        <v>89</v>
      </c>
      <c r="B886" s="28" t="s">
        <v>81</v>
      </c>
      <c r="C886" s="28" t="s">
        <v>50</v>
      </c>
      <c r="D886" s="28" t="str">
        <f>VLOOKUP(C886,Employees!A:J,2,0)</f>
        <v>محمد طارق</v>
      </c>
      <c r="E886" s="29" t="s">
        <v>78</v>
      </c>
      <c r="F886" s="29" t="s">
        <v>78</v>
      </c>
      <c r="G886" s="27" t="s">
        <v>79</v>
      </c>
      <c r="H886" s="29" t="s">
        <v>78</v>
      </c>
      <c r="I886" s="29" t="s">
        <v>78</v>
      </c>
      <c r="J886" s="22" t="s">
        <v>78</v>
      </c>
      <c r="K886" s="47" t="s">
        <v>78</v>
      </c>
      <c r="L886" s="22" t="s">
        <v>78</v>
      </c>
      <c r="M886" s="23" t="s">
        <v>78</v>
      </c>
      <c r="N886" s="24" t="s">
        <v>78</v>
      </c>
      <c r="O886" s="24" t="s">
        <v>78</v>
      </c>
      <c r="P886" s="23">
        <f>IF(G886="غياب",VLOOKUP(C886,Employees!$A$3:$J$36,9,FALSE()),0)</f>
        <v>0</v>
      </c>
    </row>
    <row r="887" spans="1:16" ht="15" customHeight="1">
      <c r="A887" s="17" t="s">
        <v>90</v>
      </c>
      <c r="B887" s="19" t="s">
        <v>83</v>
      </c>
      <c r="C887" s="19" t="s">
        <v>50</v>
      </c>
      <c r="D887" s="19" t="str">
        <f>VLOOKUP(C887,Employees!A:J,2,0)</f>
        <v>محمد طارق</v>
      </c>
      <c r="E887" s="20">
        <v>0.41666666666666702</v>
      </c>
      <c r="F887" s="20">
        <v>0.91666666666666696</v>
      </c>
      <c r="G887" s="21" t="s">
        <v>69</v>
      </c>
      <c r="H887" s="20">
        <f t="shared" ref="H887:H891" si="389">E887</f>
        <v>0.41666666666666702</v>
      </c>
      <c r="I887" s="20"/>
      <c r="J887" s="22">
        <f t="shared" ref="J887:J891" si="390">IF(OR(H887="",G887="غياب",G887="إجازة أسبوعية"),0,
IF(H887&gt;=E887-TIME(0,20,0),0,
IF(H887&gt;=E887-TIME(0,30,0),30,(E887-H887)*1440)))</f>
        <v>0</v>
      </c>
      <c r="K887" s="47">
        <f>(J887/60)*VLOOKUP(C887,Employees!A:J,10,0)*1.5</f>
        <v>0</v>
      </c>
      <c r="L887" s="22">
        <f t="shared" ref="L887:L891" si="391">IF(OR(H887="",G887="غياب",G887="إجازة أسبوعية"),0,
IF(H887&lt;=E887+TIME(0,30,0),0,
30+((H887-(E887+TIME(0,30,0)))*1440)))</f>
        <v>0</v>
      </c>
      <c r="M887" s="23">
        <f>(L887/60)*VLOOKUP(C887,Employees!A:J,10,0)*2</f>
        <v>0</v>
      </c>
      <c r="N887" s="24">
        <f t="shared" ref="N887:N891" si="392">IF(OR(I887="",G887="غياب",G887="إجازة أسبوعية",I887&lt;=F887),0,
IF(MOD(I887-F887,1)&lt;=TIME(0,25,0),0,MAX(0,(I887-F887)*1440)))</f>
        <v>0</v>
      </c>
      <c r="O887" s="25">
        <f>(N887/60)*VLOOKUP(C887,Employees!A:J,10,0)</f>
        <v>0</v>
      </c>
      <c r="P887" s="23">
        <f>IF(G887="غياب",VLOOKUP(C887,Employees!$A$3:$J$36,9,FALSE()),0)</f>
        <v>0</v>
      </c>
    </row>
    <row r="888" spans="1:16" ht="15" customHeight="1">
      <c r="A888" s="17" t="s">
        <v>91</v>
      </c>
      <c r="B888" s="19" t="s">
        <v>68</v>
      </c>
      <c r="C888" s="19" t="s">
        <v>50</v>
      </c>
      <c r="D888" s="19" t="str">
        <f>VLOOKUP(C888,Employees!A:J,2,0)</f>
        <v>محمد طارق</v>
      </c>
      <c r="E888" s="20">
        <v>0.41666666666666702</v>
      </c>
      <c r="F888" s="20">
        <v>0.91666666666666696</v>
      </c>
      <c r="G888" s="21" t="s">
        <v>69</v>
      </c>
      <c r="H888" s="20">
        <f t="shared" si="389"/>
        <v>0.41666666666666702</v>
      </c>
      <c r="I888" s="20"/>
      <c r="J888" s="22">
        <f t="shared" si="390"/>
        <v>0</v>
      </c>
      <c r="K888" s="47">
        <f>(J888/60)*VLOOKUP(C888,Employees!A:J,10,0)*1.5</f>
        <v>0</v>
      </c>
      <c r="L888" s="22">
        <f t="shared" si="391"/>
        <v>0</v>
      </c>
      <c r="M888" s="23">
        <f>(L888/60)*VLOOKUP(C888,Employees!A:J,10,0)*2</f>
        <v>0</v>
      </c>
      <c r="N888" s="24">
        <f t="shared" si="392"/>
        <v>0</v>
      </c>
      <c r="O888" s="25">
        <f>(N888/60)*VLOOKUP(C888,Employees!A:J,10,0)</f>
        <v>0</v>
      </c>
      <c r="P888" s="23">
        <f>IF(G888="غياب",VLOOKUP(C888,Employees!$A$3:$J$36,9,FALSE()),0)</f>
        <v>0</v>
      </c>
    </row>
    <row r="889" spans="1:16" ht="15" customHeight="1">
      <c r="A889" s="17" t="s">
        <v>92</v>
      </c>
      <c r="B889" s="19" t="s">
        <v>71</v>
      </c>
      <c r="C889" s="19" t="s">
        <v>50</v>
      </c>
      <c r="D889" s="19" t="str">
        <f>VLOOKUP(C889,Employees!A:J,2,0)</f>
        <v>محمد طارق</v>
      </c>
      <c r="E889" s="20">
        <v>0.41666666666666702</v>
      </c>
      <c r="F889" s="20">
        <v>0.91666666666666696</v>
      </c>
      <c r="G889" s="21" t="s">
        <v>69</v>
      </c>
      <c r="H889" s="20">
        <f t="shared" si="389"/>
        <v>0.41666666666666702</v>
      </c>
      <c r="I889" s="20"/>
      <c r="J889" s="22">
        <f t="shared" si="390"/>
        <v>0</v>
      </c>
      <c r="K889" s="47">
        <f>(J889/60)*VLOOKUP(C889,Employees!A:J,10,0)*1.5</f>
        <v>0</v>
      </c>
      <c r="L889" s="22">
        <f t="shared" si="391"/>
        <v>0</v>
      </c>
      <c r="M889" s="23">
        <f>(L889/60)*VLOOKUP(C889,Employees!A:J,10,0)*2</f>
        <v>0</v>
      </c>
      <c r="N889" s="24">
        <f t="shared" si="392"/>
        <v>0</v>
      </c>
      <c r="O889" s="25">
        <f>(N889/60)*VLOOKUP(C889,Employees!A:J,10,0)</f>
        <v>0</v>
      </c>
      <c r="P889" s="23">
        <f>IF(G889="غياب",VLOOKUP(C889,Employees!$A$3:$J$36,9,FALSE()),0)</f>
        <v>0</v>
      </c>
    </row>
    <row r="890" spans="1:16" ht="15" customHeight="1">
      <c r="A890" s="17" t="s">
        <v>93</v>
      </c>
      <c r="B890" s="19" t="s">
        <v>73</v>
      </c>
      <c r="C890" s="19" t="s">
        <v>50</v>
      </c>
      <c r="D890" s="19" t="str">
        <f>VLOOKUP(C890,Employees!A:J,2,0)</f>
        <v>محمد طارق</v>
      </c>
      <c r="E890" s="20">
        <v>0.41666666666666702</v>
      </c>
      <c r="F890" s="20">
        <v>0.91666666666666696</v>
      </c>
      <c r="G890" s="21" t="s">
        <v>69</v>
      </c>
      <c r="H890" s="20">
        <f t="shared" si="389"/>
        <v>0.41666666666666702</v>
      </c>
      <c r="I890" s="20"/>
      <c r="J890" s="22">
        <f t="shared" si="390"/>
        <v>0</v>
      </c>
      <c r="K890" s="47">
        <f>(J890/60)*VLOOKUP(C890,Employees!A:J,10,0)*1.5</f>
        <v>0</v>
      </c>
      <c r="L890" s="22">
        <f t="shared" si="391"/>
        <v>0</v>
      </c>
      <c r="M890" s="23">
        <f>(L890/60)*VLOOKUP(C890,Employees!A:J,10,0)*2</f>
        <v>0</v>
      </c>
      <c r="N890" s="24">
        <f t="shared" si="392"/>
        <v>0</v>
      </c>
      <c r="O890" s="25">
        <f>(N890/60)*VLOOKUP(C890,Employees!A:J,10,0)</f>
        <v>0</v>
      </c>
      <c r="P890" s="23">
        <f>IF(G890="غياب",VLOOKUP(C890,Employees!$A$3:$J$36,9,FALSE()),0)</f>
        <v>0</v>
      </c>
    </row>
    <row r="891" spans="1:16" ht="15" customHeight="1">
      <c r="A891" s="17" t="s">
        <v>94</v>
      </c>
      <c r="B891" s="19" t="s">
        <v>75</v>
      </c>
      <c r="C891" s="19" t="s">
        <v>50</v>
      </c>
      <c r="D891" s="19" t="str">
        <f>VLOOKUP(C891,Employees!A:J,2,0)</f>
        <v>محمد طارق</v>
      </c>
      <c r="E891" s="20">
        <v>0.41666666666666702</v>
      </c>
      <c r="F891" s="20">
        <v>0.91666666666666696</v>
      </c>
      <c r="G891" s="21" t="s">
        <v>69</v>
      </c>
      <c r="H891" s="20">
        <f t="shared" si="389"/>
        <v>0.41666666666666702</v>
      </c>
      <c r="I891" s="20"/>
      <c r="J891" s="22">
        <f t="shared" si="390"/>
        <v>0</v>
      </c>
      <c r="K891" s="47">
        <f>(J891/60)*VLOOKUP(C891,Employees!A:J,10,0)*1.5</f>
        <v>0</v>
      </c>
      <c r="L891" s="22">
        <f t="shared" si="391"/>
        <v>0</v>
      </c>
      <c r="M891" s="23">
        <f>(L891/60)*VLOOKUP(C891,Employees!A:J,10,0)*2</f>
        <v>0</v>
      </c>
      <c r="N891" s="24">
        <f t="shared" si="392"/>
        <v>0</v>
      </c>
      <c r="O891" s="25">
        <f>(N891/60)*VLOOKUP(C891,Employees!A:J,10,0)</f>
        <v>0</v>
      </c>
      <c r="P891" s="23">
        <f>IF(G891="غياب",VLOOKUP(C891,Employees!$A$3:$J$36,9,FALSE()),0)</f>
        <v>0</v>
      </c>
    </row>
    <row r="892" spans="1:16" ht="15" customHeight="1">
      <c r="A892" s="26" t="s">
        <v>95</v>
      </c>
      <c r="B892" s="28" t="s">
        <v>77</v>
      </c>
      <c r="C892" s="28" t="s">
        <v>50</v>
      </c>
      <c r="D892" s="28" t="str">
        <f>VLOOKUP(C892,Employees!A:J,2,0)</f>
        <v>محمد طارق</v>
      </c>
      <c r="E892" s="29" t="s">
        <v>78</v>
      </c>
      <c r="F892" s="29" t="s">
        <v>78</v>
      </c>
      <c r="G892" s="27" t="s">
        <v>79</v>
      </c>
      <c r="H892" s="29" t="s">
        <v>78</v>
      </c>
      <c r="I892" s="29" t="s">
        <v>78</v>
      </c>
      <c r="J892" s="22" t="s">
        <v>78</v>
      </c>
      <c r="K892" s="47" t="s">
        <v>78</v>
      </c>
      <c r="L892" s="22" t="s">
        <v>78</v>
      </c>
      <c r="M892" s="23" t="s">
        <v>78</v>
      </c>
      <c r="N892" s="24" t="s">
        <v>78</v>
      </c>
      <c r="O892" s="24" t="s">
        <v>78</v>
      </c>
      <c r="P892" s="23">
        <f>IF(G892="غياب",VLOOKUP(C892,Employees!$A$3:$J$36,9,FALSE()),0)</f>
        <v>0</v>
      </c>
    </row>
    <row r="893" spans="1:16" ht="15" customHeight="1">
      <c r="A893" s="17" t="s">
        <v>96</v>
      </c>
      <c r="B893" s="19" t="s">
        <v>81</v>
      </c>
      <c r="C893" s="19" t="s">
        <v>50</v>
      </c>
      <c r="D893" s="19" t="str">
        <f>VLOOKUP(C893,Employees!A:J,2,0)</f>
        <v>محمد طارق</v>
      </c>
      <c r="E893" s="20">
        <v>0.41666666666666702</v>
      </c>
      <c r="F893" s="20">
        <v>0.91666666666666696</v>
      </c>
      <c r="G893" s="21" t="s">
        <v>69</v>
      </c>
      <c r="H893" s="20">
        <f t="shared" ref="H893:H898" si="393">E893</f>
        <v>0.41666666666666702</v>
      </c>
      <c r="I893" s="20"/>
      <c r="J893" s="22">
        <f t="shared" ref="J893:J898" si="394">IF(OR(H893="",G893="غياب",G893="إجازة أسبوعية"),0,
IF(H893&gt;=E893-TIME(0,20,0),0,
IF(H893&gt;=E893-TIME(0,30,0),30,(E893-H893)*1440)))</f>
        <v>0</v>
      </c>
      <c r="K893" s="47">
        <f>(J893/60)*VLOOKUP(C893,Employees!A:J,10,0)*1.5</f>
        <v>0</v>
      </c>
      <c r="L893" s="22">
        <f t="shared" ref="L893:L898" si="395">IF(OR(H893="",G893="غياب",G893="إجازة أسبوعية"),0,
IF(H893&lt;=E893+TIME(0,30,0),0,
30+((H893-(E893+TIME(0,30,0)))*1440)))</f>
        <v>0</v>
      </c>
      <c r="M893" s="23">
        <f>(L893/60)*VLOOKUP(C893,Employees!A:J,10,0)*2</f>
        <v>0</v>
      </c>
      <c r="N893" s="24">
        <f t="shared" ref="N893:N898" si="396">IF(OR(I893="",G893="غياب",G893="إجازة أسبوعية",I893&lt;=F893),0,
IF(MOD(I893-F893,1)&lt;=TIME(0,25,0),0,MAX(0,(I893-F893)*1440)))</f>
        <v>0</v>
      </c>
      <c r="O893" s="25">
        <f>(N893/60)*VLOOKUP(C893,Employees!A:J,10,0)</f>
        <v>0</v>
      </c>
      <c r="P893" s="23">
        <f>IF(G893="غياب",VLOOKUP(C893,Employees!$A$3:$J$36,9,FALSE()),0)</f>
        <v>0</v>
      </c>
    </row>
    <row r="894" spans="1:16" ht="15" customHeight="1">
      <c r="A894" s="17" t="s">
        <v>97</v>
      </c>
      <c r="B894" s="19" t="s">
        <v>83</v>
      </c>
      <c r="C894" s="19" t="s">
        <v>50</v>
      </c>
      <c r="D894" s="19" t="str">
        <f>VLOOKUP(C894,Employees!A:J,2,0)</f>
        <v>محمد طارق</v>
      </c>
      <c r="E894" s="20">
        <v>0.41666666666666702</v>
      </c>
      <c r="F894" s="20">
        <v>0.91666666666666696</v>
      </c>
      <c r="G894" s="21" t="s">
        <v>69</v>
      </c>
      <c r="H894" s="20">
        <f t="shared" si="393"/>
        <v>0.41666666666666702</v>
      </c>
      <c r="I894" s="20"/>
      <c r="J894" s="22">
        <f t="shared" si="394"/>
        <v>0</v>
      </c>
      <c r="K894" s="47">
        <f>(J894/60)*VLOOKUP(C894,Employees!A:J,10,0)*1.5</f>
        <v>0</v>
      </c>
      <c r="L894" s="22">
        <f t="shared" si="395"/>
        <v>0</v>
      </c>
      <c r="M894" s="23">
        <f>(L894/60)*VLOOKUP(C894,Employees!A:J,10,0)*2</f>
        <v>0</v>
      </c>
      <c r="N894" s="24">
        <f t="shared" si="396"/>
        <v>0</v>
      </c>
      <c r="O894" s="25">
        <f>(N894/60)*VLOOKUP(C894,Employees!A:J,10,0)</f>
        <v>0</v>
      </c>
      <c r="P894" s="23">
        <f>IF(G894="غياب",VLOOKUP(C894,Employees!$A$3:$J$36,9,FALSE()),0)</f>
        <v>0</v>
      </c>
    </row>
    <row r="895" spans="1:16" ht="15" customHeight="1">
      <c r="A895" s="17" t="s">
        <v>98</v>
      </c>
      <c r="B895" s="19" t="s">
        <v>68</v>
      </c>
      <c r="C895" s="19" t="s">
        <v>50</v>
      </c>
      <c r="D895" s="19" t="str">
        <f>VLOOKUP(C895,Employees!A:J,2,0)</f>
        <v>محمد طارق</v>
      </c>
      <c r="E895" s="20">
        <v>0.41666666666666702</v>
      </c>
      <c r="F895" s="20">
        <v>0.91666666666666696</v>
      </c>
      <c r="G895" s="21" t="s">
        <v>69</v>
      </c>
      <c r="H895" s="20">
        <f t="shared" si="393"/>
        <v>0.41666666666666702</v>
      </c>
      <c r="I895" s="20"/>
      <c r="J895" s="22">
        <f t="shared" si="394"/>
        <v>0</v>
      </c>
      <c r="K895" s="47">
        <f>(J895/60)*VLOOKUP(C895,Employees!A:J,10,0)*1.5</f>
        <v>0</v>
      </c>
      <c r="L895" s="22">
        <f t="shared" si="395"/>
        <v>0</v>
      </c>
      <c r="M895" s="23">
        <f>(L895/60)*VLOOKUP(C895,Employees!A:J,10,0)*2</f>
        <v>0</v>
      </c>
      <c r="N895" s="24">
        <f t="shared" si="396"/>
        <v>0</v>
      </c>
      <c r="O895" s="25">
        <f>(N895/60)*VLOOKUP(C895,Employees!A:J,10,0)</f>
        <v>0</v>
      </c>
      <c r="P895" s="23">
        <f>IF(G895="غياب",VLOOKUP(C895,Employees!$A$3:$J$36,9,FALSE()),0)</f>
        <v>0</v>
      </c>
    </row>
    <row r="896" spans="1:16" ht="15" customHeight="1">
      <c r="A896" s="17" t="s">
        <v>99</v>
      </c>
      <c r="B896" s="19" t="s">
        <v>71</v>
      </c>
      <c r="C896" s="19" t="s">
        <v>50</v>
      </c>
      <c r="D896" s="19" t="str">
        <f>VLOOKUP(C896,Employees!A:J,2,0)</f>
        <v>محمد طارق</v>
      </c>
      <c r="E896" s="20">
        <v>0.41666666666666702</v>
      </c>
      <c r="F896" s="20">
        <v>0.91666666666666696</v>
      </c>
      <c r="G896" s="21" t="s">
        <v>69</v>
      </c>
      <c r="H896" s="20">
        <f t="shared" si="393"/>
        <v>0.41666666666666702</v>
      </c>
      <c r="I896" s="20"/>
      <c r="J896" s="22">
        <f t="shared" si="394"/>
        <v>0</v>
      </c>
      <c r="K896" s="47">
        <f>(J896/60)*VLOOKUP(C896,Employees!A:J,10,0)*1.5</f>
        <v>0</v>
      </c>
      <c r="L896" s="22">
        <f t="shared" si="395"/>
        <v>0</v>
      </c>
      <c r="M896" s="23">
        <f>(L896/60)*VLOOKUP(C896,Employees!A:J,10,0)*2</f>
        <v>0</v>
      </c>
      <c r="N896" s="24">
        <f t="shared" si="396"/>
        <v>0</v>
      </c>
      <c r="O896" s="25">
        <f>(N896/60)*VLOOKUP(C896,Employees!A:J,10,0)</f>
        <v>0</v>
      </c>
      <c r="P896" s="23">
        <f>IF(G896="غياب",VLOOKUP(C896,Employees!$A$3:$J$36,9,FALSE()),0)</f>
        <v>0</v>
      </c>
    </row>
    <row r="897" spans="1:16" ht="15" customHeight="1">
      <c r="A897" s="17" t="s">
        <v>100</v>
      </c>
      <c r="B897" s="19" t="s">
        <v>73</v>
      </c>
      <c r="C897" s="19" t="s">
        <v>50</v>
      </c>
      <c r="D897" s="19" t="str">
        <f>VLOOKUP(C897,Employees!A:J,2,0)</f>
        <v>محمد طارق</v>
      </c>
      <c r="E897" s="20">
        <v>0.375</v>
      </c>
      <c r="F897" s="20">
        <v>0.875</v>
      </c>
      <c r="G897" s="21" t="s">
        <v>69</v>
      </c>
      <c r="H897" s="20">
        <f t="shared" si="393"/>
        <v>0.375</v>
      </c>
      <c r="I897" s="20"/>
      <c r="J897" s="22">
        <f t="shared" si="394"/>
        <v>0</v>
      </c>
      <c r="K897" s="47">
        <f>(J897/60)*VLOOKUP(C897,Employees!A:J,10,0)*1.5</f>
        <v>0</v>
      </c>
      <c r="L897" s="22">
        <f t="shared" si="395"/>
        <v>0</v>
      </c>
      <c r="M897" s="23">
        <f>(L897/60)*VLOOKUP(C897,Employees!A:J,10,0)*2</f>
        <v>0</v>
      </c>
      <c r="N897" s="24">
        <f t="shared" si="396"/>
        <v>0</v>
      </c>
      <c r="O897" s="25">
        <f>(N897/60)*VLOOKUP(C897,Employees!A:J,10,0)</f>
        <v>0</v>
      </c>
      <c r="P897" s="23">
        <f>IF(G897="غياب",VLOOKUP(C897,Employees!$A$3:$J$36,9,FALSE()),0)</f>
        <v>0</v>
      </c>
    </row>
    <row r="898" spans="1:16" ht="15" customHeight="1">
      <c r="A898" s="17" t="s">
        <v>101</v>
      </c>
      <c r="B898" s="19" t="s">
        <v>75</v>
      </c>
      <c r="C898" s="19" t="s">
        <v>50</v>
      </c>
      <c r="D898" s="19" t="str">
        <f>VLOOKUP(C898,Employees!A:J,2,0)</f>
        <v>محمد طارق</v>
      </c>
      <c r="E898" s="20">
        <v>0.375</v>
      </c>
      <c r="F898" s="20">
        <v>0.875</v>
      </c>
      <c r="G898" s="21" t="s">
        <v>69</v>
      </c>
      <c r="H898" s="20">
        <f t="shared" si="393"/>
        <v>0.375</v>
      </c>
      <c r="I898" s="20"/>
      <c r="J898" s="22">
        <f t="shared" si="394"/>
        <v>0</v>
      </c>
      <c r="K898" s="47">
        <f>(J898/60)*VLOOKUP(C898,Employees!A:J,10,0)*1.5</f>
        <v>0</v>
      </c>
      <c r="L898" s="22">
        <f t="shared" si="395"/>
        <v>0</v>
      </c>
      <c r="M898" s="23">
        <f>(L898/60)*VLOOKUP(C898,Employees!A:J,10,0)*2</f>
        <v>0</v>
      </c>
      <c r="N898" s="24">
        <f t="shared" si="396"/>
        <v>0</v>
      </c>
      <c r="O898" s="25">
        <f>(N898/60)*VLOOKUP(C898,Employees!A:J,10,0)</f>
        <v>0</v>
      </c>
      <c r="P898" s="23">
        <f>IF(G898="غياب",VLOOKUP(C898,Employees!$A$3:$J$36,9,FALSE()),0)</f>
        <v>0</v>
      </c>
    </row>
    <row r="899" spans="1:16" ht="15" customHeight="1">
      <c r="A899" s="26" t="s">
        <v>102</v>
      </c>
      <c r="B899" s="28" t="s">
        <v>77</v>
      </c>
      <c r="C899" s="28" t="s">
        <v>50</v>
      </c>
      <c r="D899" s="28" t="str">
        <f>VLOOKUP(C899,Employees!A:J,2,0)</f>
        <v>محمد طارق</v>
      </c>
      <c r="E899" s="29" t="s">
        <v>78</v>
      </c>
      <c r="F899" s="29" t="s">
        <v>78</v>
      </c>
      <c r="G899" s="27" t="s">
        <v>79</v>
      </c>
      <c r="H899" s="29" t="s">
        <v>78</v>
      </c>
      <c r="I899" s="29" t="s">
        <v>78</v>
      </c>
      <c r="J899" s="22" t="s">
        <v>78</v>
      </c>
      <c r="K899" s="47" t="s">
        <v>78</v>
      </c>
      <c r="L899" s="22" t="s">
        <v>78</v>
      </c>
      <c r="M899" s="23" t="s">
        <v>78</v>
      </c>
      <c r="N899" s="24" t="s">
        <v>78</v>
      </c>
      <c r="O899" s="24" t="s">
        <v>78</v>
      </c>
      <c r="P899" s="23">
        <f>IF(G899="غياب",VLOOKUP(C899,Employees!$A$3:$J$36,9,FALSE()),0)</f>
        <v>0</v>
      </c>
    </row>
    <row r="900" spans="1:16" ht="15" customHeight="1">
      <c r="A900" s="17" t="s">
        <v>103</v>
      </c>
      <c r="B900" s="19" t="s">
        <v>81</v>
      </c>
      <c r="C900" s="19" t="s">
        <v>50</v>
      </c>
      <c r="D900" s="19" t="str">
        <f>VLOOKUP(C900,Employees!A:J,2,0)</f>
        <v>محمد طارق</v>
      </c>
      <c r="E900" s="20">
        <v>0.375</v>
      </c>
      <c r="F900" s="20">
        <v>0.875</v>
      </c>
      <c r="G900" s="21" t="s">
        <v>69</v>
      </c>
      <c r="H900" s="20">
        <f t="shared" ref="H900:H903" si="397">E900</f>
        <v>0.375</v>
      </c>
      <c r="I900" s="20"/>
      <c r="J900" s="22">
        <f t="shared" ref="J900:J903" si="398">IF(OR(H900="",G900="غياب",G900="إجازة أسبوعية"),0,
IF(H900&gt;=E900-TIME(0,20,0),0,
IF(H900&gt;=E900-TIME(0,30,0),30,(E900-H900)*1440)))</f>
        <v>0</v>
      </c>
      <c r="K900" s="47">
        <f>(J900/60)*VLOOKUP(C900,Employees!A:J,10,0)*1.5</f>
        <v>0</v>
      </c>
      <c r="L900" s="22">
        <f t="shared" ref="L900:L903" si="399">IF(OR(H900="",G900="غياب",G900="إجازة أسبوعية"),0,
IF(H900&lt;=E900+TIME(0,30,0),0,
30+((H900-(E900+TIME(0,30,0)))*1440)))</f>
        <v>0</v>
      </c>
      <c r="M900" s="23">
        <f>(L900/60)*VLOOKUP(C900,Employees!A:J,10,0)*2</f>
        <v>0</v>
      </c>
      <c r="N900" s="24">
        <f t="shared" ref="N900:N903" si="400">IF(OR(I900="",G900="غياب",G900="إجازة أسبوعية",I900&lt;=F900),0,
IF(MOD(I900-F900,1)&lt;=TIME(0,25,0),0,MAX(0,(I900-F900)*1440)))</f>
        <v>0</v>
      </c>
      <c r="O900" s="25">
        <f>(N900/60)*VLOOKUP(C900,Employees!A:J,10,0)</f>
        <v>0</v>
      </c>
      <c r="P900" s="23">
        <f>IF(G900="غياب",VLOOKUP(C900,Employees!$A$3:$J$36,9,FALSE()),0)</f>
        <v>0</v>
      </c>
    </row>
    <row r="901" spans="1:16" ht="15" customHeight="1">
      <c r="A901" s="17" t="s">
        <v>104</v>
      </c>
      <c r="B901" s="19" t="s">
        <v>83</v>
      </c>
      <c r="C901" s="19" t="s">
        <v>50</v>
      </c>
      <c r="D901" s="19" t="str">
        <f>VLOOKUP(C901,Employees!A:J,2,0)</f>
        <v>محمد طارق</v>
      </c>
      <c r="E901" s="20">
        <v>0.375</v>
      </c>
      <c r="F901" s="20">
        <v>0.875</v>
      </c>
      <c r="G901" s="21" t="s">
        <v>69</v>
      </c>
      <c r="H901" s="20">
        <f t="shared" si="397"/>
        <v>0.375</v>
      </c>
      <c r="I901" s="20"/>
      <c r="J901" s="22">
        <f t="shared" si="398"/>
        <v>0</v>
      </c>
      <c r="K901" s="47">
        <f>(J901/60)*VLOOKUP(C901,Employees!A:J,10,0)*1.5</f>
        <v>0</v>
      </c>
      <c r="L901" s="22">
        <f t="shared" si="399"/>
        <v>0</v>
      </c>
      <c r="M901" s="23">
        <f>(L901/60)*VLOOKUP(C901,Employees!A:J,10,0)*2</f>
        <v>0</v>
      </c>
      <c r="N901" s="24">
        <f t="shared" si="400"/>
        <v>0</v>
      </c>
      <c r="O901" s="25">
        <f>(N901/60)*VLOOKUP(C901,Employees!A:J,10,0)</f>
        <v>0</v>
      </c>
      <c r="P901" s="23">
        <f>IF(G901="غياب",VLOOKUP(C901,Employees!$A$3:$J$36,9,FALSE()),0)</f>
        <v>0</v>
      </c>
    </row>
    <row r="902" spans="1:16" ht="15" customHeight="1">
      <c r="A902" s="17" t="s">
        <v>105</v>
      </c>
      <c r="B902" s="19" t="s">
        <v>68</v>
      </c>
      <c r="C902" s="19" t="s">
        <v>50</v>
      </c>
      <c r="D902" s="19" t="str">
        <f>VLOOKUP(C902,Employees!A:J,2,0)</f>
        <v>محمد طارق</v>
      </c>
      <c r="E902" s="20">
        <v>0.375</v>
      </c>
      <c r="F902" s="20">
        <v>0.875</v>
      </c>
      <c r="G902" s="21" t="s">
        <v>69</v>
      </c>
      <c r="H902" s="20">
        <f t="shared" si="397"/>
        <v>0.375</v>
      </c>
      <c r="I902" s="20"/>
      <c r="J902" s="22">
        <f t="shared" si="398"/>
        <v>0</v>
      </c>
      <c r="K902" s="47">
        <f>(J902/60)*VLOOKUP(C902,Employees!A:J,10,0)*1.5</f>
        <v>0</v>
      </c>
      <c r="L902" s="22">
        <f t="shared" si="399"/>
        <v>0</v>
      </c>
      <c r="M902" s="23">
        <f>(L902/60)*VLOOKUP(C902,Employees!A:J,10,0)*2</f>
        <v>0</v>
      </c>
      <c r="N902" s="24">
        <f t="shared" si="400"/>
        <v>0</v>
      </c>
      <c r="O902" s="25">
        <f>(N902/60)*VLOOKUP(C902,Employees!A:J,10,0)</f>
        <v>0</v>
      </c>
      <c r="P902" s="23">
        <f>IF(G902="غياب",VLOOKUP(C902,Employees!$A$3:$J$36,9,FALSE()),0)</f>
        <v>0</v>
      </c>
    </row>
    <row r="903" spans="1:16" ht="15" customHeight="1">
      <c r="A903" s="17" t="s">
        <v>106</v>
      </c>
      <c r="B903" s="19" t="s">
        <v>71</v>
      </c>
      <c r="C903" s="19" t="s">
        <v>50</v>
      </c>
      <c r="D903" s="19" t="str">
        <f>VLOOKUP(C903,Employees!A:J,2,0)</f>
        <v>محمد طارق</v>
      </c>
      <c r="E903" s="20">
        <v>0.375</v>
      </c>
      <c r="F903" s="20">
        <v>0.875</v>
      </c>
      <c r="G903" s="21" t="s">
        <v>69</v>
      </c>
      <c r="H903" s="20">
        <f t="shared" si="397"/>
        <v>0.375</v>
      </c>
      <c r="I903" s="20"/>
      <c r="J903" s="22">
        <f t="shared" si="398"/>
        <v>0</v>
      </c>
      <c r="K903" s="47">
        <f>(J903/60)*VLOOKUP(C903,Employees!A:J,10,0)*1.5</f>
        <v>0</v>
      </c>
      <c r="L903" s="22">
        <f t="shared" si="399"/>
        <v>0</v>
      </c>
      <c r="M903" s="23">
        <f>(L903/60)*VLOOKUP(C903,Employees!A:J,10,0)*2</f>
        <v>0</v>
      </c>
      <c r="N903" s="24">
        <f t="shared" si="400"/>
        <v>0</v>
      </c>
      <c r="O903" s="25">
        <f>(N903/60)*VLOOKUP(C903,Employees!A:J,10,0)</f>
        <v>0</v>
      </c>
      <c r="P903" s="23">
        <f>IF(G903="غياب",VLOOKUP(C903,Employees!$A$3:$J$36,9,FALSE()),0)</f>
        <v>0</v>
      </c>
    </row>
    <row r="904" spans="1:16" ht="15" customHeight="1">
      <c r="A904" s="48" t="s">
        <v>67</v>
      </c>
      <c r="B904" s="49" t="s">
        <v>68</v>
      </c>
      <c r="C904" s="49" t="s">
        <v>51</v>
      </c>
      <c r="D904" s="49" t="str">
        <f>VLOOKUP(C904,Employees!A:J,2,0)</f>
        <v>انس انور</v>
      </c>
      <c r="E904" s="50">
        <v>0.45833333333333331</v>
      </c>
      <c r="F904" s="50">
        <v>0.875</v>
      </c>
      <c r="G904" s="51" t="s">
        <v>130</v>
      </c>
      <c r="H904" s="52" t="s">
        <v>78</v>
      </c>
      <c r="I904" s="52" t="s">
        <v>78</v>
      </c>
      <c r="J904" s="22">
        <f t="shared" ref="J904:J914" si="401">IF(OR(G904="غياب",G904="إجازة أسبوعية"),0,
IF(H904&gt;=E904-TIME(0,20,0),0,
IF(H904&gt;=E904-TIME(0,30,0),30,(E904-H904)*1440)))</f>
        <v>0</v>
      </c>
      <c r="K904" s="47">
        <f>(J904/60)*VLOOKUP(C904,Employees!A:J,10,0)*1.5</f>
        <v>0</v>
      </c>
      <c r="L904" s="22" t="s">
        <v>78</v>
      </c>
      <c r="M904" s="23" t="s">
        <v>78</v>
      </c>
      <c r="N904" s="24" t="s">
        <v>78</v>
      </c>
      <c r="O904" s="25" t="s">
        <v>78</v>
      </c>
      <c r="P904" s="23">
        <f>IF(G904="غياب",VLOOKUP(C904,Employees!$A$3:$J$36,9,FALSE()),0)</f>
        <v>444.44444444444446</v>
      </c>
    </row>
    <row r="905" spans="1:16" ht="15" customHeight="1">
      <c r="A905" s="48" t="s">
        <v>70</v>
      </c>
      <c r="B905" s="49" t="s">
        <v>71</v>
      </c>
      <c r="C905" s="49" t="s">
        <v>51</v>
      </c>
      <c r="D905" s="49" t="str">
        <f>VLOOKUP(C905,Employees!A:J,2,0)</f>
        <v>انس انور</v>
      </c>
      <c r="E905" s="50">
        <v>0.45833333333333331</v>
      </c>
      <c r="F905" s="50">
        <v>0.875</v>
      </c>
      <c r="G905" s="51" t="s">
        <v>130</v>
      </c>
      <c r="H905" s="52" t="s">
        <v>78</v>
      </c>
      <c r="I905" s="52" t="s">
        <v>78</v>
      </c>
      <c r="J905" s="22">
        <f t="shared" si="401"/>
        <v>0</v>
      </c>
      <c r="K905" s="47">
        <f>(J905/60)*VLOOKUP(C905,Employees!A:J,10,0)*1.5</f>
        <v>0</v>
      </c>
      <c r="L905" s="22" t="s">
        <v>78</v>
      </c>
      <c r="M905" s="23" t="s">
        <v>78</v>
      </c>
      <c r="N905" s="24" t="s">
        <v>78</v>
      </c>
      <c r="O905" s="25" t="s">
        <v>78</v>
      </c>
      <c r="P905" s="23">
        <f>IF(G905="غياب",VLOOKUP(C905,Employees!$A$3:$J$36,9,FALSE()),0)</f>
        <v>444.44444444444446</v>
      </c>
    </row>
    <row r="906" spans="1:16" ht="15" customHeight="1">
      <c r="A906" s="48" t="s">
        <v>72</v>
      </c>
      <c r="B906" s="49" t="s">
        <v>73</v>
      </c>
      <c r="C906" s="49" t="s">
        <v>51</v>
      </c>
      <c r="D906" s="49" t="str">
        <f>VLOOKUP(C906,Employees!A:J,2,0)</f>
        <v>انس انور</v>
      </c>
      <c r="E906" s="50">
        <v>0.45833333333333331</v>
      </c>
      <c r="F906" s="50">
        <v>0.875</v>
      </c>
      <c r="G906" s="51" t="s">
        <v>130</v>
      </c>
      <c r="H906" s="52" t="s">
        <v>78</v>
      </c>
      <c r="I906" s="52" t="s">
        <v>78</v>
      </c>
      <c r="J906" s="22">
        <f t="shared" si="401"/>
        <v>0</v>
      </c>
      <c r="K906" s="47">
        <f>(J906/60)*VLOOKUP(C906,Employees!A:J,10,0)*1.5</f>
        <v>0</v>
      </c>
      <c r="L906" s="22" t="s">
        <v>78</v>
      </c>
      <c r="M906" s="23" t="s">
        <v>78</v>
      </c>
      <c r="N906" s="24" t="s">
        <v>78</v>
      </c>
      <c r="O906" s="25" t="s">
        <v>78</v>
      </c>
      <c r="P906" s="23">
        <f>IF(G906="غياب",VLOOKUP(C906,Employees!$A$3:$J$36,9,FALSE()),0)</f>
        <v>444.44444444444446</v>
      </c>
    </row>
    <row r="907" spans="1:16" ht="15" customHeight="1">
      <c r="A907" s="48" t="s">
        <v>74</v>
      </c>
      <c r="B907" s="49" t="s">
        <v>75</v>
      </c>
      <c r="C907" s="49" t="s">
        <v>51</v>
      </c>
      <c r="D907" s="49" t="str">
        <f>VLOOKUP(C907,Employees!A:J,2,0)</f>
        <v>انس انور</v>
      </c>
      <c r="E907" s="50">
        <v>0.45833333333333331</v>
      </c>
      <c r="F907" s="50">
        <v>0.875</v>
      </c>
      <c r="G907" s="51" t="s">
        <v>130</v>
      </c>
      <c r="H907" s="52" t="s">
        <v>78</v>
      </c>
      <c r="I907" s="52" t="s">
        <v>78</v>
      </c>
      <c r="J907" s="22">
        <f t="shared" si="401"/>
        <v>0</v>
      </c>
      <c r="K907" s="47">
        <f>(J907/60)*VLOOKUP(C907,Employees!A:J,10,0)*1.5</f>
        <v>0</v>
      </c>
      <c r="L907" s="22" t="s">
        <v>78</v>
      </c>
      <c r="M907" s="23" t="s">
        <v>78</v>
      </c>
      <c r="N907" s="24" t="s">
        <v>78</v>
      </c>
      <c r="O907" s="25" t="s">
        <v>78</v>
      </c>
      <c r="P907" s="23">
        <f>IF(G907="غياب",VLOOKUP(C907,Employees!$A$3:$J$36,9,FALSE()),0)</f>
        <v>444.44444444444446</v>
      </c>
    </row>
    <row r="908" spans="1:16" ht="15" customHeight="1">
      <c r="A908" s="26" t="s">
        <v>76</v>
      </c>
      <c r="B908" s="28" t="s">
        <v>77</v>
      </c>
      <c r="C908" s="28" t="s">
        <v>51</v>
      </c>
      <c r="D908" s="28" t="str">
        <f>VLOOKUP(C908,Employees!A:J,2,0)</f>
        <v>انس انور</v>
      </c>
      <c r="E908" s="29" t="s">
        <v>78</v>
      </c>
      <c r="F908" s="29" t="s">
        <v>78</v>
      </c>
      <c r="G908" s="27" t="s">
        <v>79</v>
      </c>
      <c r="H908" s="29" t="s">
        <v>78</v>
      </c>
      <c r="I908" s="29" t="s">
        <v>78</v>
      </c>
      <c r="J908" s="22" t="s">
        <v>78</v>
      </c>
      <c r="K908" s="47" t="s">
        <v>78</v>
      </c>
      <c r="L908" s="22" t="s">
        <v>78</v>
      </c>
      <c r="M908" s="23" t="s">
        <v>78</v>
      </c>
      <c r="N908" s="24" t="s">
        <v>78</v>
      </c>
      <c r="O908" s="24" t="s">
        <v>78</v>
      </c>
      <c r="P908" s="23">
        <f>IF(G908="غياب",VLOOKUP(C908,Employees!$A$3:$J$36,9,FALSE()),0)</f>
        <v>0</v>
      </c>
    </row>
    <row r="909" spans="1:16" ht="15" customHeight="1">
      <c r="A909" s="48" t="s">
        <v>80</v>
      </c>
      <c r="B909" s="49" t="s">
        <v>81</v>
      </c>
      <c r="C909" s="49" t="s">
        <v>51</v>
      </c>
      <c r="D909" s="49" t="str">
        <f>VLOOKUP(C909,Employees!A:J,2,0)</f>
        <v>انس انور</v>
      </c>
      <c r="E909" s="50">
        <v>0.45833333333333331</v>
      </c>
      <c r="F909" s="50">
        <v>0.875</v>
      </c>
      <c r="G909" s="51" t="s">
        <v>130</v>
      </c>
      <c r="H909" s="52" t="s">
        <v>78</v>
      </c>
      <c r="I909" s="52" t="s">
        <v>78</v>
      </c>
      <c r="J909" s="22">
        <f t="shared" si="401"/>
        <v>0</v>
      </c>
      <c r="K909" s="47">
        <f>(J909/60)*VLOOKUP(C909,Employees!A:J,10,0)*1.5</f>
        <v>0</v>
      </c>
      <c r="L909" s="22" t="s">
        <v>78</v>
      </c>
      <c r="M909" s="23" t="s">
        <v>78</v>
      </c>
      <c r="N909" s="24" t="s">
        <v>78</v>
      </c>
      <c r="O909" s="25" t="s">
        <v>78</v>
      </c>
      <c r="P909" s="23">
        <f>IF(G909="غياب",VLOOKUP(C909,Employees!$A$3:$J$36,9,FALSE()),0)</f>
        <v>444.44444444444446</v>
      </c>
    </row>
    <row r="910" spans="1:16" ht="15" customHeight="1">
      <c r="A910" s="48" t="s">
        <v>82</v>
      </c>
      <c r="B910" s="49" t="s">
        <v>83</v>
      </c>
      <c r="C910" s="49" t="s">
        <v>51</v>
      </c>
      <c r="D910" s="49" t="str">
        <f>VLOOKUP(C910,Employees!A:J,2,0)</f>
        <v>انس انور</v>
      </c>
      <c r="E910" s="50">
        <v>0.45833333333333331</v>
      </c>
      <c r="F910" s="50">
        <v>0.875</v>
      </c>
      <c r="G910" s="51" t="s">
        <v>130</v>
      </c>
      <c r="H910" s="52" t="s">
        <v>78</v>
      </c>
      <c r="I910" s="52" t="s">
        <v>78</v>
      </c>
      <c r="J910" s="22">
        <f t="shared" si="401"/>
        <v>0</v>
      </c>
      <c r="K910" s="47">
        <f>(J910/60)*VLOOKUP(C910,Employees!A:J,10,0)*1.5</f>
        <v>0</v>
      </c>
      <c r="L910" s="22" t="s">
        <v>78</v>
      </c>
      <c r="M910" s="23" t="s">
        <v>78</v>
      </c>
      <c r="N910" s="24" t="s">
        <v>78</v>
      </c>
      <c r="O910" s="25" t="s">
        <v>78</v>
      </c>
      <c r="P910" s="23">
        <f>IF(G910="غياب",VLOOKUP(C910,Employees!$A$3:$J$36,9,FALSE()),0)</f>
        <v>444.44444444444446</v>
      </c>
    </row>
    <row r="911" spans="1:16" ht="15" customHeight="1">
      <c r="A911" s="48" t="s">
        <v>84</v>
      </c>
      <c r="B911" s="49" t="s">
        <v>68</v>
      </c>
      <c r="C911" s="49" t="s">
        <v>51</v>
      </c>
      <c r="D911" s="49" t="str">
        <f>VLOOKUP(C911,Employees!A:J,2,0)</f>
        <v>انس انور</v>
      </c>
      <c r="E911" s="50">
        <v>0.45833333333333331</v>
      </c>
      <c r="F911" s="50">
        <v>0.875</v>
      </c>
      <c r="G911" s="51" t="s">
        <v>130</v>
      </c>
      <c r="H911" s="52" t="s">
        <v>78</v>
      </c>
      <c r="I911" s="52" t="s">
        <v>78</v>
      </c>
      <c r="J911" s="22">
        <f t="shared" si="401"/>
        <v>0</v>
      </c>
      <c r="K911" s="47">
        <f>(J911/60)*VLOOKUP(C911,Employees!A:J,10,0)*1.5</f>
        <v>0</v>
      </c>
      <c r="L911" s="22" t="s">
        <v>78</v>
      </c>
      <c r="M911" s="23" t="s">
        <v>78</v>
      </c>
      <c r="N911" s="24" t="s">
        <v>78</v>
      </c>
      <c r="O911" s="25" t="s">
        <v>78</v>
      </c>
      <c r="P911" s="23">
        <f>IF(G911="غياب",VLOOKUP(C911,Employees!$A$3:$J$36,9,FALSE()),0)</f>
        <v>444.44444444444446</v>
      </c>
    </row>
    <row r="912" spans="1:16" ht="15" customHeight="1">
      <c r="A912" s="48" t="s">
        <v>85</v>
      </c>
      <c r="B912" s="49" t="s">
        <v>71</v>
      </c>
      <c r="C912" s="49" t="s">
        <v>51</v>
      </c>
      <c r="D912" s="49" t="str">
        <f>VLOOKUP(C912,Employees!A:J,2,0)</f>
        <v>انس انور</v>
      </c>
      <c r="E912" s="50">
        <v>0.45833333333333331</v>
      </c>
      <c r="F912" s="50">
        <v>0.875</v>
      </c>
      <c r="G912" s="51" t="s">
        <v>130</v>
      </c>
      <c r="H912" s="52" t="s">
        <v>78</v>
      </c>
      <c r="I912" s="52" t="s">
        <v>78</v>
      </c>
      <c r="J912" s="22">
        <f t="shared" si="401"/>
        <v>0</v>
      </c>
      <c r="K912" s="47">
        <f>(J912/60)*VLOOKUP(C912,Employees!A:J,10,0)*1.5</f>
        <v>0</v>
      </c>
      <c r="L912" s="22" t="s">
        <v>78</v>
      </c>
      <c r="M912" s="23" t="s">
        <v>78</v>
      </c>
      <c r="N912" s="24" t="s">
        <v>78</v>
      </c>
      <c r="O912" s="25" t="s">
        <v>78</v>
      </c>
      <c r="P912" s="23">
        <f>IF(G912="غياب",VLOOKUP(C912,Employees!$A$3:$J$36,9,FALSE()),0)</f>
        <v>444.44444444444446</v>
      </c>
    </row>
    <row r="913" spans="1:16" ht="15" customHeight="1">
      <c r="A913" s="48" t="s">
        <v>86</v>
      </c>
      <c r="B913" s="49" t="s">
        <v>73</v>
      </c>
      <c r="C913" s="49" t="s">
        <v>51</v>
      </c>
      <c r="D913" s="49" t="str">
        <f>VLOOKUP(C913,Employees!A:J,2,0)</f>
        <v>انس انور</v>
      </c>
      <c r="E913" s="50">
        <v>0.45833333333333331</v>
      </c>
      <c r="F913" s="50">
        <v>0.875</v>
      </c>
      <c r="G913" s="51" t="s">
        <v>130</v>
      </c>
      <c r="H913" s="52" t="s">
        <v>78</v>
      </c>
      <c r="I913" s="52" t="s">
        <v>78</v>
      </c>
      <c r="J913" s="22">
        <f t="shared" si="401"/>
        <v>0</v>
      </c>
      <c r="K913" s="47">
        <f>(J913/60)*VLOOKUP(C913,Employees!A:J,10,0)*1.5</f>
        <v>0</v>
      </c>
      <c r="L913" s="22" t="s">
        <v>78</v>
      </c>
      <c r="M913" s="23" t="s">
        <v>78</v>
      </c>
      <c r="N913" s="24" t="s">
        <v>78</v>
      </c>
      <c r="O913" s="25" t="s">
        <v>78</v>
      </c>
      <c r="P913" s="23">
        <f>IF(G913="غياب",VLOOKUP(C913,Employees!$A$3:$J$36,9,FALSE()),0)</f>
        <v>444.44444444444446</v>
      </c>
    </row>
    <row r="914" spans="1:16" ht="15" customHeight="1">
      <c r="A914" s="48" t="s">
        <v>87</v>
      </c>
      <c r="B914" s="49" t="s">
        <v>75</v>
      </c>
      <c r="C914" s="49" t="s">
        <v>51</v>
      </c>
      <c r="D914" s="49" t="str">
        <f>VLOOKUP(C914,Employees!A:J,2,0)</f>
        <v>انس انور</v>
      </c>
      <c r="E914" s="50">
        <v>0.45833333333333331</v>
      </c>
      <c r="F914" s="50">
        <v>0.875</v>
      </c>
      <c r="G914" s="51" t="s">
        <v>130</v>
      </c>
      <c r="H914" s="52" t="s">
        <v>78</v>
      </c>
      <c r="I914" s="52" t="s">
        <v>78</v>
      </c>
      <c r="J914" s="22">
        <f t="shared" si="401"/>
        <v>0</v>
      </c>
      <c r="K914" s="47">
        <f>(J914/60)*VLOOKUP(C914,Employees!A:J,10,0)*1.5</f>
        <v>0</v>
      </c>
      <c r="L914" s="22" t="s">
        <v>78</v>
      </c>
      <c r="M914" s="23" t="s">
        <v>78</v>
      </c>
      <c r="N914" s="24" t="s">
        <v>78</v>
      </c>
      <c r="O914" s="25" t="s">
        <v>78</v>
      </c>
      <c r="P914" s="23">
        <f>IF(G914="غياب",VLOOKUP(C914,Employees!$A$3:$J$36,9,FALSE()),0)</f>
        <v>444.44444444444446</v>
      </c>
    </row>
    <row r="915" spans="1:16" ht="15" customHeight="1">
      <c r="A915" s="26" t="s">
        <v>88</v>
      </c>
      <c r="B915" s="28" t="s">
        <v>77</v>
      </c>
      <c r="C915" s="28" t="s">
        <v>51</v>
      </c>
      <c r="D915" s="28" t="str">
        <f>VLOOKUP(C915,Employees!A:J,2,0)</f>
        <v>انس انور</v>
      </c>
      <c r="E915" s="29" t="s">
        <v>78</v>
      </c>
      <c r="F915" s="29" t="s">
        <v>78</v>
      </c>
      <c r="G915" s="27" t="s">
        <v>79</v>
      </c>
      <c r="H915" s="29" t="s">
        <v>78</v>
      </c>
      <c r="I915" s="29" t="s">
        <v>78</v>
      </c>
      <c r="J915" s="22" t="s">
        <v>78</v>
      </c>
      <c r="K915" s="47" t="s">
        <v>78</v>
      </c>
      <c r="L915" s="22" t="s">
        <v>78</v>
      </c>
      <c r="M915" s="23" t="s">
        <v>78</v>
      </c>
      <c r="N915" s="24" t="s">
        <v>78</v>
      </c>
      <c r="O915" s="24" t="s">
        <v>78</v>
      </c>
      <c r="P915" s="23">
        <f>IF(G915="غياب",VLOOKUP(C915,Employees!$A$3:$J$36,9,FALSE()),0)</f>
        <v>0</v>
      </c>
    </row>
    <row r="916" spans="1:16" ht="15" customHeight="1">
      <c r="A916" s="26" t="s">
        <v>89</v>
      </c>
      <c r="B916" s="28" t="s">
        <v>81</v>
      </c>
      <c r="C916" s="28" t="s">
        <v>51</v>
      </c>
      <c r="D916" s="28" t="str">
        <f>VLOOKUP(C916,Employees!A:J,2,0)</f>
        <v>انس انور</v>
      </c>
      <c r="E916" s="29" t="s">
        <v>78</v>
      </c>
      <c r="F916" s="29" t="s">
        <v>78</v>
      </c>
      <c r="G916" s="27" t="s">
        <v>79</v>
      </c>
      <c r="H916" s="29" t="s">
        <v>78</v>
      </c>
      <c r="I916" s="29" t="s">
        <v>78</v>
      </c>
      <c r="J916" s="22" t="s">
        <v>78</v>
      </c>
      <c r="K916" s="47" t="s">
        <v>78</v>
      </c>
      <c r="L916" s="22" t="s">
        <v>78</v>
      </c>
      <c r="M916" s="23" t="s">
        <v>78</v>
      </c>
      <c r="N916" s="24" t="s">
        <v>78</v>
      </c>
      <c r="O916" s="24" t="s">
        <v>78</v>
      </c>
      <c r="P916" s="23">
        <f>IF(G916="غياب",VLOOKUP(C916,Employees!$A$3:$J$36,9,FALSE()),0)</f>
        <v>0</v>
      </c>
    </row>
    <row r="917" spans="1:16" ht="15" customHeight="1">
      <c r="A917" s="17" t="s">
        <v>90</v>
      </c>
      <c r="B917" s="19" t="s">
        <v>83</v>
      </c>
      <c r="C917" s="19" t="s">
        <v>51</v>
      </c>
      <c r="D917" s="19" t="str">
        <f>VLOOKUP(C917,Employees!A:J,2,0)</f>
        <v>انس انور</v>
      </c>
      <c r="E917" s="20">
        <v>0.45833333333333331</v>
      </c>
      <c r="F917" s="20">
        <v>0.875</v>
      </c>
      <c r="G917" s="21" t="s">
        <v>69</v>
      </c>
      <c r="H917" s="20">
        <v>0.45833333333333331</v>
      </c>
      <c r="I917" s="20">
        <v>0.875</v>
      </c>
      <c r="J917" s="22">
        <f t="shared" ref="J917:J921" si="402">IF(OR(H917="",G917="غياب",G917="إجازة أسبوعية"),0,
IF(H917&gt;=E917-TIME(0,20,0),0,
IF(H917&gt;=E917-TIME(0,30,0),30,(E917-H917)*1440)))</f>
        <v>0</v>
      </c>
      <c r="K917" s="47">
        <f>(J917/60)*VLOOKUP(C917,Employees!A:J,10,0)*1.5</f>
        <v>0</v>
      </c>
      <c r="L917" s="22">
        <f t="shared" ref="L917:L921" si="403">IF(OR(H917="",G917="غياب",G917="إجازة أسبوعية"),0,
IF(H917&lt;=E917+TIME(0,30,0),0,
30+((H917-(E917+TIME(0,30,0)))*1440)))</f>
        <v>0</v>
      </c>
      <c r="M917" s="23">
        <f>(L917/60)*VLOOKUP(C917,Employees!A:J,10,0)*2</f>
        <v>0</v>
      </c>
      <c r="N917" s="24">
        <f t="shared" ref="N917:N921" si="404">IF(OR(I917="",G917="غياب",G917="إجازة أسبوعية",I917&lt;=F917),0,
IF(MOD(I917-F917,1)&lt;=TIME(0,25,0),0,MAX(0,(I917-F917)*1440)))</f>
        <v>0</v>
      </c>
      <c r="O917" s="25">
        <f>(N917/60)*VLOOKUP(C917,Employees!A:J,10,0)*1.5</f>
        <v>0</v>
      </c>
      <c r="P917" s="23">
        <f>IF(G917="غياب",VLOOKUP(C917,Employees!$A$3:$J$36,9,FALSE()),0)</f>
        <v>0</v>
      </c>
    </row>
    <row r="918" spans="1:16" ht="15" customHeight="1">
      <c r="A918" s="17" t="s">
        <v>91</v>
      </c>
      <c r="B918" s="19" t="s">
        <v>68</v>
      </c>
      <c r="C918" s="19" t="s">
        <v>51</v>
      </c>
      <c r="D918" s="19" t="str">
        <f>VLOOKUP(C918,Employees!A:J,2,0)</f>
        <v>انس انور</v>
      </c>
      <c r="E918" s="20">
        <v>0.45833333333333331</v>
      </c>
      <c r="F918" s="20">
        <v>0.875</v>
      </c>
      <c r="G918" s="21" t="s">
        <v>69</v>
      </c>
      <c r="H918" s="20">
        <f>E918</f>
        <v>0.45833333333333331</v>
      </c>
      <c r="I918" s="20">
        <v>0.875</v>
      </c>
      <c r="J918" s="22">
        <f t="shared" si="402"/>
        <v>0</v>
      </c>
      <c r="K918" s="47">
        <f>(J918/60)*VLOOKUP(C918,Employees!A:J,10,0)*1.5</f>
        <v>0</v>
      </c>
      <c r="L918" s="22">
        <f t="shared" si="403"/>
        <v>0</v>
      </c>
      <c r="M918" s="23">
        <f>(L918/60)*VLOOKUP(C918,Employees!A:J,10,0)*2</f>
        <v>0</v>
      </c>
      <c r="N918" s="24">
        <f t="shared" si="404"/>
        <v>0</v>
      </c>
      <c r="O918" s="25">
        <f>(N918/60)*VLOOKUP(C918,Employees!A:J,10,0)*1.5</f>
        <v>0</v>
      </c>
      <c r="P918" s="23">
        <f>IF(G918="غياب",VLOOKUP(C918,Employees!$A$3:$J$36,9,FALSE()),0)</f>
        <v>0</v>
      </c>
    </row>
    <row r="919" spans="1:16" ht="15" customHeight="1">
      <c r="A919" s="17" t="s">
        <v>92</v>
      </c>
      <c r="B919" s="19" t="s">
        <v>71</v>
      </c>
      <c r="C919" s="19" t="s">
        <v>51</v>
      </c>
      <c r="D919" s="19" t="str">
        <f>VLOOKUP(C919,Employees!A:J,2,0)</f>
        <v>انس انور</v>
      </c>
      <c r="E919" s="20">
        <v>0.45833333333333331</v>
      </c>
      <c r="F919" s="20">
        <v>0.875</v>
      </c>
      <c r="G919" s="21" t="s">
        <v>69</v>
      </c>
      <c r="H919" s="20">
        <f>E919</f>
        <v>0.45833333333333331</v>
      </c>
      <c r="I919" s="20">
        <v>0.875</v>
      </c>
      <c r="J919" s="22">
        <f t="shared" si="402"/>
        <v>0</v>
      </c>
      <c r="K919" s="47">
        <f>(J919/60)*VLOOKUP(C919,Employees!A:J,10,0)*1.5</f>
        <v>0</v>
      </c>
      <c r="L919" s="22">
        <f t="shared" si="403"/>
        <v>0</v>
      </c>
      <c r="M919" s="23">
        <f>(L919/60)*VLOOKUP(C919,Employees!A:J,10,0)*2</f>
        <v>0</v>
      </c>
      <c r="N919" s="24">
        <f t="shared" si="404"/>
        <v>0</v>
      </c>
      <c r="O919" s="25">
        <f>(N919/60)*VLOOKUP(C919,Employees!A:J,10,0)*1.5</f>
        <v>0</v>
      </c>
      <c r="P919" s="23">
        <f>IF(G919="غياب",VLOOKUP(C919,Employees!$A$3:$J$36,9,FALSE()),0)</f>
        <v>0</v>
      </c>
    </row>
    <row r="920" spans="1:16" ht="15" customHeight="1">
      <c r="A920" s="17" t="s">
        <v>93</v>
      </c>
      <c r="B920" s="19" t="s">
        <v>73</v>
      </c>
      <c r="C920" s="19" t="s">
        <v>51</v>
      </c>
      <c r="D920" s="19" t="str">
        <f>VLOOKUP(C920,Employees!A:J,2,0)</f>
        <v>انس انور</v>
      </c>
      <c r="E920" s="20">
        <v>0.45833333333333331</v>
      </c>
      <c r="F920" s="20">
        <v>0.875</v>
      </c>
      <c r="G920" s="21" t="s">
        <v>69</v>
      </c>
      <c r="H920" s="20">
        <f>E920</f>
        <v>0.45833333333333331</v>
      </c>
      <c r="I920" s="20">
        <v>0.875</v>
      </c>
      <c r="J920" s="22">
        <f t="shared" si="402"/>
        <v>0</v>
      </c>
      <c r="K920" s="47">
        <f>(J920/60)*VLOOKUP(C920,Employees!A:J,10,0)*1.5</f>
        <v>0</v>
      </c>
      <c r="L920" s="22">
        <f t="shared" si="403"/>
        <v>0</v>
      </c>
      <c r="M920" s="23">
        <f>(L920/60)*VLOOKUP(C920,Employees!A:J,10,0)*2</f>
        <v>0</v>
      </c>
      <c r="N920" s="24">
        <f t="shared" si="404"/>
        <v>0</v>
      </c>
      <c r="O920" s="25">
        <f>(N920/60)*VLOOKUP(C920,Employees!A:J,10,0)*1.5</f>
        <v>0</v>
      </c>
      <c r="P920" s="23">
        <f>IF(G920="غياب",VLOOKUP(C920,Employees!$A$3:$J$36,9,FALSE()),0)</f>
        <v>0</v>
      </c>
    </row>
    <row r="921" spans="1:16" ht="15" customHeight="1">
      <c r="A921" s="17" t="s">
        <v>94</v>
      </c>
      <c r="B921" s="19" t="s">
        <v>75</v>
      </c>
      <c r="C921" s="19" t="s">
        <v>51</v>
      </c>
      <c r="D921" s="19" t="str">
        <f>VLOOKUP(C921,Employees!A:J,2,0)</f>
        <v>انس انور</v>
      </c>
      <c r="E921" s="20">
        <v>0.45833333333333331</v>
      </c>
      <c r="F921" s="20">
        <v>0.875</v>
      </c>
      <c r="G921" s="21" t="s">
        <v>69</v>
      </c>
      <c r="H921" s="20">
        <f>E921</f>
        <v>0.45833333333333331</v>
      </c>
      <c r="I921" s="20">
        <v>0.875</v>
      </c>
      <c r="J921" s="22">
        <f t="shared" si="402"/>
        <v>0</v>
      </c>
      <c r="K921" s="47">
        <f>(J921/60)*VLOOKUP(C921,Employees!A:J,10,0)*1.5</f>
        <v>0</v>
      </c>
      <c r="L921" s="22">
        <f t="shared" si="403"/>
        <v>0</v>
      </c>
      <c r="M921" s="23">
        <f>(L921/60)*VLOOKUP(C921,Employees!A:J,10,0)*2</f>
        <v>0</v>
      </c>
      <c r="N921" s="24">
        <f t="shared" si="404"/>
        <v>0</v>
      </c>
      <c r="O921" s="25">
        <f>(N921/60)*VLOOKUP(C921,Employees!A:J,10,0)*1.5</f>
        <v>0</v>
      </c>
      <c r="P921" s="23">
        <f>IF(G921="غياب",VLOOKUP(C921,Employees!$A$3:$J$36,9,FALSE()),0)</f>
        <v>0</v>
      </c>
    </row>
    <row r="922" spans="1:16" ht="15" customHeight="1">
      <c r="A922" s="26" t="s">
        <v>95</v>
      </c>
      <c r="B922" s="28" t="s">
        <v>77</v>
      </c>
      <c r="C922" s="28" t="s">
        <v>51</v>
      </c>
      <c r="D922" s="28" t="str">
        <f>VLOOKUP(C922,Employees!A:J,2,0)</f>
        <v>انس انور</v>
      </c>
      <c r="E922" s="29" t="s">
        <v>78</v>
      </c>
      <c r="F922" s="29" t="s">
        <v>78</v>
      </c>
      <c r="G922" s="27" t="s">
        <v>79</v>
      </c>
      <c r="H922" s="29" t="s">
        <v>78</v>
      </c>
      <c r="I922" s="29" t="s">
        <v>78</v>
      </c>
      <c r="J922" s="22" t="s">
        <v>78</v>
      </c>
      <c r="K922" s="47" t="s">
        <v>78</v>
      </c>
      <c r="L922" s="22" t="s">
        <v>78</v>
      </c>
      <c r="M922" s="23" t="s">
        <v>78</v>
      </c>
      <c r="N922" s="24" t="s">
        <v>78</v>
      </c>
      <c r="O922" s="24" t="s">
        <v>78</v>
      </c>
      <c r="P922" s="23">
        <f>IF(G922="غياب",VLOOKUP(C922,Employees!$A$3:$J$36,9,FALSE()),0)</f>
        <v>0</v>
      </c>
    </row>
    <row r="923" spans="1:16" ht="15" customHeight="1">
      <c r="A923" s="17" t="s">
        <v>96</v>
      </c>
      <c r="B923" s="19" t="s">
        <v>81</v>
      </c>
      <c r="C923" s="19" t="s">
        <v>51</v>
      </c>
      <c r="D923" s="19" t="str">
        <f>VLOOKUP(C923,Employees!A:J,2,0)</f>
        <v>انس انور</v>
      </c>
      <c r="E923" s="20">
        <v>0.45833333333333331</v>
      </c>
      <c r="F923" s="20">
        <v>0.875</v>
      </c>
      <c r="G923" s="21" t="s">
        <v>69</v>
      </c>
      <c r="H923" s="20">
        <f t="shared" ref="H923:H928" si="405">E923</f>
        <v>0.45833333333333331</v>
      </c>
      <c r="I923" s="20">
        <v>0.875</v>
      </c>
      <c r="J923" s="22">
        <f t="shared" ref="J923:J928" si="406">IF(OR(H923="",G923="غياب",G923="إجازة أسبوعية"),0,
IF(H923&gt;=E923-TIME(0,20,0),0,
IF(H923&gt;=E923-TIME(0,30,0),30,(E923-H923)*1440)))</f>
        <v>0</v>
      </c>
      <c r="K923" s="47">
        <f>(J923/60)*VLOOKUP(C923,Employees!A:J,10,0)*1.5</f>
        <v>0</v>
      </c>
      <c r="L923" s="22">
        <f t="shared" ref="L923:L928" si="407">IF(OR(H923="",G923="غياب",G923="إجازة أسبوعية"),0,
IF(H923&lt;=E923+TIME(0,30,0),0,
30+((H923-(E923+TIME(0,30,0)))*1440)))</f>
        <v>0</v>
      </c>
      <c r="M923" s="23">
        <f>(L923/60)*VLOOKUP(C923,Employees!A:J,10,0)*2</f>
        <v>0</v>
      </c>
      <c r="N923" s="24">
        <f t="shared" ref="N923:N928" si="408">IF(OR(I923="",G923="غياب",G923="إجازة أسبوعية",I923&lt;=F923),0,
IF(MOD(I923-F923,1)&lt;=TIME(0,25,0),0,MAX(0,(I923-F923)*1440)))</f>
        <v>0</v>
      </c>
      <c r="O923" s="25">
        <f>(N923/60)*VLOOKUP(C923,Employees!A:J,10,0)*1.5</f>
        <v>0</v>
      </c>
      <c r="P923" s="23">
        <f>IF(G923="غياب",VLOOKUP(C923,Employees!$A$3:$J$36,9,FALSE()),0)</f>
        <v>0</v>
      </c>
    </row>
    <row r="924" spans="1:16" ht="15" customHeight="1">
      <c r="A924" s="17" t="s">
        <v>97</v>
      </c>
      <c r="B924" s="19" t="s">
        <v>83</v>
      </c>
      <c r="C924" s="19" t="s">
        <v>51</v>
      </c>
      <c r="D924" s="19" t="str">
        <f>VLOOKUP(C924,Employees!A:J,2,0)</f>
        <v>انس انور</v>
      </c>
      <c r="E924" s="20">
        <v>0.45833333333333331</v>
      </c>
      <c r="F924" s="20">
        <v>0.875</v>
      </c>
      <c r="G924" s="21" t="s">
        <v>69</v>
      </c>
      <c r="H924" s="20">
        <f t="shared" si="405"/>
        <v>0.45833333333333331</v>
      </c>
      <c r="I924" s="20">
        <v>0.875</v>
      </c>
      <c r="J924" s="22">
        <f t="shared" si="406"/>
        <v>0</v>
      </c>
      <c r="K924" s="47">
        <f>(J924/60)*VLOOKUP(C924,Employees!A:J,10,0)*1.5</f>
        <v>0</v>
      </c>
      <c r="L924" s="22">
        <f t="shared" si="407"/>
        <v>0</v>
      </c>
      <c r="M924" s="23">
        <f>(L924/60)*VLOOKUP(C924,Employees!A:J,10,0)*2</f>
        <v>0</v>
      </c>
      <c r="N924" s="24">
        <f t="shared" si="408"/>
        <v>0</v>
      </c>
      <c r="O924" s="25">
        <f>(N924/60)*VLOOKUP(C924,Employees!A:J,10,0)*1.5</f>
        <v>0</v>
      </c>
      <c r="P924" s="23">
        <f>IF(G924="غياب",VLOOKUP(C924,Employees!$A$3:$J$36,9,FALSE()),0)</f>
        <v>0</v>
      </c>
    </row>
    <row r="925" spans="1:16" ht="15" customHeight="1">
      <c r="A925" s="17" t="s">
        <v>98</v>
      </c>
      <c r="B925" s="19" t="s">
        <v>68</v>
      </c>
      <c r="C925" s="19" t="s">
        <v>51</v>
      </c>
      <c r="D925" s="19" t="str">
        <f>VLOOKUP(C925,Employees!A:J,2,0)</f>
        <v>انس انور</v>
      </c>
      <c r="E925" s="20">
        <v>0.45833333333333331</v>
      </c>
      <c r="F925" s="20">
        <v>0.875</v>
      </c>
      <c r="G925" s="21" t="s">
        <v>69</v>
      </c>
      <c r="H925" s="20">
        <f t="shared" si="405"/>
        <v>0.45833333333333331</v>
      </c>
      <c r="I925" s="20">
        <v>0.875</v>
      </c>
      <c r="J925" s="22">
        <f t="shared" si="406"/>
        <v>0</v>
      </c>
      <c r="K925" s="47">
        <f>(J925/60)*VLOOKUP(C925,Employees!A:J,10,0)*1.5</f>
        <v>0</v>
      </c>
      <c r="L925" s="22">
        <f t="shared" si="407"/>
        <v>0</v>
      </c>
      <c r="M925" s="23">
        <f>(L925/60)*VLOOKUP(C925,Employees!A:J,10,0)*2</f>
        <v>0</v>
      </c>
      <c r="N925" s="24">
        <f t="shared" si="408"/>
        <v>0</v>
      </c>
      <c r="O925" s="25">
        <f>(N925/60)*VLOOKUP(C925,Employees!A:J,10,0)*1.5</f>
        <v>0</v>
      </c>
      <c r="P925" s="23">
        <f>IF(G925="غياب",VLOOKUP(C925,Employees!$A$3:$J$36,9,FALSE()),0)</f>
        <v>0</v>
      </c>
    </row>
    <row r="926" spans="1:16" ht="15" customHeight="1">
      <c r="A926" s="17" t="s">
        <v>99</v>
      </c>
      <c r="B926" s="19" t="s">
        <v>71</v>
      </c>
      <c r="C926" s="19" t="s">
        <v>51</v>
      </c>
      <c r="D926" s="19" t="str">
        <f>VLOOKUP(C926,Employees!A:J,2,0)</f>
        <v>انس انور</v>
      </c>
      <c r="E926" s="20">
        <v>0.45833333333333331</v>
      </c>
      <c r="F926" s="20">
        <v>0.875</v>
      </c>
      <c r="G926" s="21" t="s">
        <v>69</v>
      </c>
      <c r="H926" s="20">
        <f t="shared" si="405"/>
        <v>0.45833333333333331</v>
      </c>
      <c r="I926" s="20">
        <v>0.875</v>
      </c>
      <c r="J926" s="22">
        <f t="shared" si="406"/>
        <v>0</v>
      </c>
      <c r="K926" s="47">
        <f>(J926/60)*VLOOKUP(C926,Employees!A:J,10,0)*1.5</f>
        <v>0</v>
      </c>
      <c r="L926" s="22">
        <f t="shared" si="407"/>
        <v>0</v>
      </c>
      <c r="M926" s="23">
        <f>(L926/60)*VLOOKUP(C926,Employees!A:J,10,0)*2</f>
        <v>0</v>
      </c>
      <c r="N926" s="24">
        <f t="shared" si="408"/>
        <v>0</v>
      </c>
      <c r="O926" s="25">
        <f>(N926/60)*VLOOKUP(C926,Employees!A:J,10,0)*1.5</f>
        <v>0</v>
      </c>
      <c r="P926" s="23">
        <f>IF(G926="غياب",VLOOKUP(C926,Employees!$A$3:$J$36,9,FALSE()),0)</f>
        <v>0</v>
      </c>
    </row>
    <row r="927" spans="1:16" ht="15" customHeight="1">
      <c r="A927" s="17" t="s">
        <v>100</v>
      </c>
      <c r="B927" s="19" t="s">
        <v>73</v>
      </c>
      <c r="C927" s="19" t="s">
        <v>51</v>
      </c>
      <c r="D927" s="19" t="str">
        <f>VLOOKUP(C927,Employees!A:J,2,0)</f>
        <v>انس انور</v>
      </c>
      <c r="E927" s="20">
        <v>0.45833333333333331</v>
      </c>
      <c r="F927" s="20">
        <v>0.875</v>
      </c>
      <c r="G927" s="21" t="s">
        <v>69</v>
      </c>
      <c r="H927" s="20">
        <f t="shared" si="405"/>
        <v>0.45833333333333331</v>
      </c>
      <c r="I927" s="20">
        <v>0.875</v>
      </c>
      <c r="J927" s="22">
        <f t="shared" si="406"/>
        <v>0</v>
      </c>
      <c r="K927" s="47">
        <f>(J927/60)*VLOOKUP(C927,Employees!A:J,10,0)*1.5</f>
        <v>0</v>
      </c>
      <c r="L927" s="22">
        <f t="shared" si="407"/>
        <v>0</v>
      </c>
      <c r="M927" s="23">
        <f>(L927/60)*VLOOKUP(C927,Employees!A:J,10,0)*2</f>
        <v>0</v>
      </c>
      <c r="N927" s="24">
        <f t="shared" si="408"/>
        <v>0</v>
      </c>
      <c r="O927" s="25">
        <f>(N927/60)*VLOOKUP(C927,Employees!A:J,10,0)*1.5</f>
        <v>0</v>
      </c>
      <c r="P927" s="23">
        <f>IF(G927="غياب",VLOOKUP(C927,Employees!$A$3:$J$36,9,FALSE()),0)</f>
        <v>0</v>
      </c>
    </row>
    <row r="928" spans="1:16" ht="15" customHeight="1">
      <c r="A928" s="17" t="s">
        <v>101</v>
      </c>
      <c r="B928" s="19" t="s">
        <v>75</v>
      </c>
      <c r="C928" s="19" t="s">
        <v>51</v>
      </c>
      <c r="D928" s="19" t="str">
        <f>VLOOKUP(C928,Employees!A:J,2,0)</f>
        <v>انس انور</v>
      </c>
      <c r="E928" s="20">
        <v>0.45833333333333331</v>
      </c>
      <c r="F928" s="20">
        <v>0.875</v>
      </c>
      <c r="G928" s="21" t="s">
        <v>69</v>
      </c>
      <c r="H928" s="20">
        <f t="shared" si="405"/>
        <v>0.45833333333333331</v>
      </c>
      <c r="I928" s="20">
        <v>0.875</v>
      </c>
      <c r="J928" s="22">
        <f t="shared" si="406"/>
        <v>0</v>
      </c>
      <c r="K928" s="47">
        <f>(J928/60)*VLOOKUP(C928,Employees!A:J,10,0)*1.5</f>
        <v>0</v>
      </c>
      <c r="L928" s="22">
        <f t="shared" si="407"/>
        <v>0</v>
      </c>
      <c r="M928" s="23">
        <f>(L928/60)*VLOOKUP(C928,Employees!A:J,10,0)*2</f>
        <v>0</v>
      </c>
      <c r="N928" s="24">
        <f t="shared" si="408"/>
        <v>0</v>
      </c>
      <c r="O928" s="25">
        <f>(N928/60)*VLOOKUP(C928,Employees!A:J,10,0)*1.5</f>
        <v>0</v>
      </c>
      <c r="P928" s="23">
        <f>IF(G928="غياب",VLOOKUP(C928,Employees!$A$3:$J$36,9,FALSE()),0)</f>
        <v>0</v>
      </c>
    </row>
    <row r="929" spans="1:16" ht="15" customHeight="1">
      <c r="A929" s="26" t="s">
        <v>102</v>
      </c>
      <c r="B929" s="28" t="s">
        <v>77</v>
      </c>
      <c r="C929" s="28" t="s">
        <v>51</v>
      </c>
      <c r="D929" s="28" t="str">
        <f>VLOOKUP(C929,Employees!A:J,2,0)</f>
        <v>انس انور</v>
      </c>
      <c r="E929" s="29" t="s">
        <v>78</v>
      </c>
      <c r="F929" s="29" t="s">
        <v>78</v>
      </c>
      <c r="G929" s="27" t="s">
        <v>79</v>
      </c>
      <c r="H929" s="29" t="s">
        <v>78</v>
      </c>
      <c r="I929" s="29" t="s">
        <v>78</v>
      </c>
      <c r="J929" s="22" t="s">
        <v>78</v>
      </c>
      <c r="K929" s="47" t="s">
        <v>78</v>
      </c>
      <c r="L929" s="22" t="s">
        <v>78</v>
      </c>
      <c r="M929" s="23" t="s">
        <v>78</v>
      </c>
      <c r="N929" s="24" t="s">
        <v>78</v>
      </c>
      <c r="O929" s="24" t="s">
        <v>78</v>
      </c>
      <c r="P929" s="23">
        <f>IF(G929="غياب",VLOOKUP(C929,Employees!$A$3:$J$36,9,FALSE()),0)</f>
        <v>0</v>
      </c>
    </row>
    <row r="930" spans="1:16" ht="15" customHeight="1">
      <c r="A930" s="17" t="s">
        <v>103</v>
      </c>
      <c r="B930" s="19" t="s">
        <v>81</v>
      </c>
      <c r="C930" s="19" t="s">
        <v>51</v>
      </c>
      <c r="D930" s="19" t="str">
        <f>VLOOKUP(C930,Employees!A:J,2,0)</f>
        <v>انس انور</v>
      </c>
      <c r="E930" s="20">
        <v>0.45833333333333331</v>
      </c>
      <c r="F930" s="20">
        <v>0.875</v>
      </c>
      <c r="G930" s="21" t="s">
        <v>69</v>
      </c>
      <c r="H930" s="20">
        <f>E930</f>
        <v>0.45833333333333331</v>
      </c>
      <c r="I930" s="20">
        <v>0.875</v>
      </c>
      <c r="J930" s="22">
        <f t="shared" ref="J930:J937" si="409">IF(OR(H930="",G930="غياب",G930="إجازة أسبوعية"),0,
IF(H930&gt;=E930-TIME(0,20,0),0,
IF(H930&gt;=E930-TIME(0,30,0),30,(E930-H930)*1440)))</f>
        <v>0</v>
      </c>
      <c r="K930" s="47">
        <f>(J930/60)*VLOOKUP(C930,Employees!A:J,10,0)*1.5</f>
        <v>0</v>
      </c>
      <c r="L930" s="22">
        <f t="shared" ref="L930:L937" si="410">IF(OR(H930="",G930="غياب",G930="إجازة أسبوعية"),0,
IF(H930&lt;=E930+TIME(0,30,0),0,
30+((H930-(E930+TIME(0,30,0)))*1440)))</f>
        <v>0</v>
      </c>
      <c r="M930" s="23">
        <f>(L930/60)*VLOOKUP(C930,Employees!A:J,10,0)*2</f>
        <v>0</v>
      </c>
      <c r="N930" s="24">
        <f t="shared" ref="N930:N937" si="411">IF(OR(I930="",G930="غياب",G930="إجازة أسبوعية",I930&lt;=F930),0,
IF(MOD(I930-F930,1)&lt;=TIME(0,25,0),0,MAX(0,(I930-F930)*1440)))</f>
        <v>0</v>
      </c>
      <c r="O930" s="25">
        <f>(N930/60)*VLOOKUP(C930,Employees!A:J,10,0)*1.5</f>
        <v>0</v>
      </c>
      <c r="P930" s="23">
        <f>IF(G930="غياب",VLOOKUP(C930,Employees!$A$3:$J$36,9,FALSE()),0)</f>
        <v>0</v>
      </c>
    </row>
    <row r="931" spans="1:16" ht="15" customHeight="1">
      <c r="A931" s="17" t="s">
        <v>104</v>
      </c>
      <c r="B931" s="19" t="s">
        <v>83</v>
      </c>
      <c r="C931" s="19" t="s">
        <v>51</v>
      </c>
      <c r="D931" s="19" t="str">
        <f>VLOOKUP(C931,Employees!A:J,2,0)</f>
        <v>انس انور</v>
      </c>
      <c r="E931" s="20">
        <v>0.45833333333333331</v>
      </c>
      <c r="F931" s="20">
        <v>0.875</v>
      </c>
      <c r="G931" s="21" t="s">
        <v>69</v>
      </c>
      <c r="H931" s="20">
        <f>E931</f>
        <v>0.45833333333333331</v>
      </c>
      <c r="I931" s="20">
        <v>0.875</v>
      </c>
      <c r="J931" s="22">
        <f t="shared" si="409"/>
        <v>0</v>
      </c>
      <c r="K931" s="47">
        <f>(J931/60)*VLOOKUP(C931,Employees!A:J,10,0)*1.5</f>
        <v>0</v>
      </c>
      <c r="L931" s="22">
        <f t="shared" si="410"/>
        <v>0</v>
      </c>
      <c r="M931" s="23">
        <f>(L931/60)*VLOOKUP(C931,Employees!A:J,10,0)*2</f>
        <v>0</v>
      </c>
      <c r="N931" s="24">
        <f t="shared" si="411"/>
        <v>0</v>
      </c>
      <c r="O931" s="25">
        <f>(N931/60)*VLOOKUP(C931,Employees!A:J,10,0)*1.5</f>
        <v>0</v>
      </c>
      <c r="P931" s="23">
        <f>IF(G931="غياب",VLOOKUP(C931,Employees!$A$3:$J$36,9,FALSE()),0)</f>
        <v>0</v>
      </c>
    </row>
    <row r="932" spans="1:16" ht="15" customHeight="1">
      <c r="A932" s="17" t="s">
        <v>105</v>
      </c>
      <c r="B932" s="19" t="s">
        <v>68</v>
      </c>
      <c r="C932" s="19" t="s">
        <v>51</v>
      </c>
      <c r="D932" s="19" t="str">
        <f>VLOOKUP(C932,Employees!A:J,2,0)</f>
        <v>انس انور</v>
      </c>
      <c r="E932" s="20">
        <v>0.45833333333333331</v>
      </c>
      <c r="F932" s="20">
        <v>0.875</v>
      </c>
      <c r="G932" s="21" t="s">
        <v>69</v>
      </c>
      <c r="H932" s="20">
        <f>E932</f>
        <v>0.45833333333333331</v>
      </c>
      <c r="I932" s="20">
        <v>0.875</v>
      </c>
      <c r="J932" s="22">
        <f t="shared" si="409"/>
        <v>0</v>
      </c>
      <c r="K932" s="47">
        <f>(J932/60)*VLOOKUP(C932,Employees!A:J,10,0)*1.5</f>
        <v>0</v>
      </c>
      <c r="L932" s="22">
        <f t="shared" si="410"/>
        <v>0</v>
      </c>
      <c r="M932" s="23">
        <f>(L932/60)*VLOOKUP(C932,Employees!A:J,10,0)*2</f>
        <v>0</v>
      </c>
      <c r="N932" s="24">
        <f t="shared" si="411"/>
        <v>0</v>
      </c>
      <c r="O932" s="25">
        <f>(N932/60)*VLOOKUP(C932,Employees!A:J,10,0)*1.5</f>
        <v>0</v>
      </c>
      <c r="P932" s="23">
        <f>IF(G932="غياب",VLOOKUP(C932,Employees!$A$3:$J$36,9,FALSE()),0)</f>
        <v>0</v>
      </c>
    </row>
    <row r="933" spans="1:16" ht="15" customHeight="1">
      <c r="A933" s="17" t="s">
        <v>106</v>
      </c>
      <c r="B933" s="19" t="s">
        <v>71</v>
      </c>
      <c r="C933" s="19" t="s">
        <v>51</v>
      </c>
      <c r="D933" s="19" t="str">
        <f>VLOOKUP(C933,Employees!A:J,2,0)</f>
        <v>انس انور</v>
      </c>
      <c r="E933" s="20">
        <v>0.45833333333333331</v>
      </c>
      <c r="F933" s="20">
        <v>0.875</v>
      </c>
      <c r="G933" s="21" t="s">
        <v>69</v>
      </c>
      <c r="H933" s="20">
        <f>E933</f>
        <v>0.45833333333333331</v>
      </c>
      <c r="I933" s="20">
        <v>0.875</v>
      </c>
      <c r="J933" s="22">
        <f t="shared" si="409"/>
        <v>0</v>
      </c>
      <c r="K933" s="47">
        <f>(J933/60)*VLOOKUP(C933,Employees!A:J,10,0)*1.5</f>
        <v>0</v>
      </c>
      <c r="L933" s="22">
        <f t="shared" si="410"/>
        <v>0</v>
      </c>
      <c r="M933" s="23">
        <f>(L933/60)*VLOOKUP(C933,Employees!A:J,10,0)*2</f>
        <v>0</v>
      </c>
      <c r="N933" s="24">
        <f t="shared" si="411"/>
        <v>0</v>
      </c>
      <c r="O933" s="25">
        <f>(N933/60)*VLOOKUP(C933,Employees!A:J,10,0)*1.5</f>
        <v>0</v>
      </c>
      <c r="P933" s="23">
        <f>IF(G933="غياب",VLOOKUP(C933,Employees!$A$3:$J$36,9,FALSE()),0)</f>
        <v>0</v>
      </c>
    </row>
    <row r="934" spans="1:16" ht="15" customHeight="1">
      <c r="A934" s="17" t="s">
        <v>67</v>
      </c>
      <c r="B934" s="19" t="s">
        <v>68</v>
      </c>
      <c r="C934" s="19" t="s">
        <v>52</v>
      </c>
      <c r="D934" s="19" t="str">
        <f>VLOOKUP(C934,Employees!A:J,2,0)</f>
        <v>مراون عادل</v>
      </c>
      <c r="E934" s="20"/>
      <c r="F934" s="20"/>
      <c r="G934" s="21" t="s">
        <v>69</v>
      </c>
      <c r="H934" s="20"/>
      <c r="I934" s="20"/>
      <c r="J934" s="22">
        <f t="shared" si="409"/>
        <v>0</v>
      </c>
      <c r="K934" s="47">
        <f>(J934/60)*VLOOKUP(C934,Employees!A:J,10,0)*1.5</f>
        <v>0</v>
      </c>
      <c r="L934" s="22">
        <f t="shared" si="410"/>
        <v>0</v>
      </c>
      <c r="M934" s="23">
        <f>(L934/60)*VLOOKUP(C934,Employees!A:J,10,0)*2</f>
        <v>0</v>
      </c>
      <c r="N934" s="24">
        <f t="shared" si="411"/>
        <v>0</v>
      </c>
      <c r="O934" s="25">
        <f>(N934/60)*VLOOKUP(C934,Employees!A:J,10,0)*1.5</f>
        <v>0</v>
      </c>
      <c r="P934" s="23">
        <f>IF(G934="غياب",VLOOKUP(C934,Employees!$A$3:$J$36,9,FALSE()),0)</f>
        <v>0</v>
      </c>
    </row>
    <row r="935" spans="1:16" ht="15" customHeight="1">
      <c r="A935" s="17" t="s">
        <v>70</v>
      </c>
      <c r="B935" s="19" t="s">
        <v>71</v>
      </c>
      <c r="C935" s="19" t="s">
        <v>52</v>
      </c>
      <c r="D935" s="19" t="str">
        <f>VLOOKUP(C935,Employees!A:J,2,0)</f>
        <v>مراون عادل</v>
      </c>
      <c r="E935" s="20"/>
      <c r="F935" s="20"/>
      <c r="G935" s="21" t="s">
        <v>69</v>
      </c>
      <c r="H935" s="20"/>
      <c r="I935" s="20"/>
      <c r="J935" s="22">
        <f t="shared" si="409"/>
        <v>0</v>
      </c>
      <c r="K935" s="47">
        <f>(J935/60)*VLOOKUP(C935,Employees!A:J,10,0)*1.5</f>
        <v>0</v>
      </c>
      <c r="L935" s="22">
        <f t="shared" si="410"/>
        <v>0</v>
      </c>
      <c r="M935" s="23">
        <f>(L935/60)*VLOOKUP(C935,Employees!A:J,10,0)*2</f>
        <v>0</v>
      </c>
      <c r="N935" s="24">
        <f t="shared" si="411"/>
        <v>0</v>
      </c>
      <c r="O935" s="25">
        <f>(N935/60)*VLOOKUP(C935,Employees!A:J,10,0)*1.5</f>
        <v>0</v>
      </c>
      <c r="P935" s="23">
        <f>IF(G935="غياب",VLOOKUP(C935,Employees!$A$3:$J$36,9,FALSE()),0)</f>
        <v>0</v>
      </c>
    </row>
    <row r="936" spans="1:16" ht="15" customHeight="1">
      <c r="A936" s="17" t="s">
        <v>72</v>
      </c>
      <c r="B936" s="19" t="s">
        <v>73</v>
      </c>
      <c r="C936" s="19" t="s">
        <v>52</v>
      </c>
      <c r="D936" s="19" t="str">
        <f>VLOOKUP(C936,Employees!A:J,2,0)</f>
        <v>مراون عادل</v>
      </c>
      <c r="E936" s="20"/>
      <c r="F936" s="20"/>
      <c r="G936" s="21" t="s">
        <v>69</v>
      </c>
      <c r="H936" s="20"/>
      <c r="I936" s="20"/>
      <c r="J936" s="22">
        <f t="shared" si="409"/>
        <v>0</v>
      </c>
      <c r="K936" s="47">
        <f>(J936/60)*VLOOKUP(C936,Employees!A:J,10,0)*1.5</f>
        <v>0</v>
      </c>
      <c r="L936" s="22">
        <f t="shared" si="410"/>
        <v>0</v>
      </c>
      <c r="M936" s="23">
        <f>(L936/60)*VLOOKUP(C936,Employees!A:J,10,0)*2</f>
        <v>0</v>
      </c>
      <c r="N936" s="24">
        <f t="shared" si="411"/>
        <v>0</v>
      </c>
      <c r="O936" s="25">
        <f>(N936/60)*VLOOKUP(C936,Employees!A:J,10,0)*1.5</f>
        <v>0</v>
      </c>
      <c r="P936" s="23">
        <f>IF(G936="غياب",VLOOKUP(C936,Employees!$A$3:$J$36,9,FALSE()),0)</f>
        <v>0</v>
      </c>
    </row>
    <row r="937" spans="1:16" ht="15" customHeight="1">
      <c r="A937" s="17" t="s">
        <v>74</v>
      </c>
      <c r="B937" s="19" t="s">
        <v>75</v>
      </c>
      <c r="C937" s="19" t="s">
        <v>52</v>
      </c>
      <c r="D937" s="19" t="str">
        <f>VLOOKUP(C937,Employees!A:J,2,0)</f>
        <v>مراون عادل</v>
      </c>
      <c r="E937" s="20"/>
      <c r="F937" s="20"/>
      <c r="G937" s="21" t="s">
        <v>69</v>
      </c>
      <c r="H937" s="20"/>
      <c r="I937" s="20"/>
      <c r="J937" s="22">
        <f t="shared" si="409"/>
        <v>0</v>
      </c>
      <c r="K937" s="47">
        <f>(J937/60)*VLOOKUP(C937,Employees!A:J,10,0)*1.5</f>
        <v>0</v>
      </c>
      <c r="L937" s="22">
        <f t="shared" si="410"/>
        <v>0</v>
      </c>
      <c r="M937" s="23">
        <f>(L937/60)*VLOOKUP(C937,Employees!A:J,10,0)*2</f>
        <v>0</v>
      </c>
      <c r="N937" s="24">
        <f t="shared" si="411"/>
        <v>0</v>
      </c>
      <c r="O937" s="25">
        <f>(N937/60)*VLOOKUP(C937,Employees!A:J,10,0)*1.5</f>
        <v>0</v>
      </c>
      <c r="P937" s="23">
        <f>IF(G937="غياب",VLOOKUP(C937,Employees!$A$3:$J$36,9,FALSE()),0)</f>
        <v>0</v>
      </c>
    </row>
    <row r="938" spans="1:16" ht="15" customHeight="1">
      <c r="A938" s="26" t="s">
        <v>76</v>
      </c>
      <c r="B938" s="28" t="s">
        <v>77</v>
      </c>
      <c r="C938" s="28" t="s">
        <v>52</v>
      </c>
      <c r="D938" s="28" t="str">
        <f>VLOOKUP(C938,Employees!A:J,2,0)</f>
        <v>مراون عادل</v>
      </c>
      <c r="E938" s="29" t="s">
        <v>78</v>
      </c>
      <c r="F938" s="29" t="s">
        <v>78</v>
      </c>
      <c r="G938" s="27" t="s">
        <v>79</v>
      </c>
      <c r="H938" s="29" t="s">
        <v>78</v>
      </c>
      <c r="I938" s="29" t="s">
        <v>78</v>
      </c>
      <c r="J938" s="22" t="s">
        <v>78</v>
      </c>
      <c r="K938" s="47" t="s">
        <v>78</v>
      </c>
      <c r="L938" s="22" t="s">
        <v>78</v>
      </c>
      <c r="M938" s="23" t="s">
        <v>78</v>
      </c>
      <c r="N938" s="24" t="s">
        <v>78</v>
      </c>
      <c r="O938" s="24" t="s">
        <v>78</v>
      </c>
      <c r="P938" s="23">
        <f>IF(G938="غياب",VLOOKUP(C938,Employees!$A$3:$J$36,9,FALSE()),0)</f>
        <v>0</v>
      </c>
    </row>
    <row r="939" spans="1:16" ht="15" customHeight="1">
      <c r="A939" s="17" t="s">
        <v>80</v>
      </c>
      <c r="B939" s="19" t="s">
        <v>81</v>
      </c>
      <c r="C939" s="19" t="s">
        <v>52</v>
      </c>
      <c r="D939" s="19" t="str">
        <f>VLOOKUP(C939,Employees!A:J,2,0)</f>
        <v>مراون عادل</v>
      </c>
      <c r="E939" s="20"/>
      <c r="F939" s="20"/>
      <c r="G939" s="21" t="s">
        <v>69</v>
      </c>
      <c r="H939" s="20"/>
      <c r="I939" s="20"/>
      <c r="J939" s="22">
        <f t="shared" ref="J939:J944" si="412">IF(OR(H939="",G939="غياب",G939="إجازة أسبوعية"),0,
IF(H939&gt;=E939-TIME(0,20,0),0,
IF(H939&gt;=E939-TIME(0,30,0),30,(E939-H939)*1440)))</f>
        <v>0</v>
      </c>
      <c r="K939" s="47">
        <f>(J939/60)*VLOOKUP(C939,Employees!A:J,10,0)*1.5</f>
        <v>0</v>
      </c>
      <c r="L939" s="22">
        <f t="shared" ref="L939:L944" si="413">IF(OR(H939="",G939="غياب",G939="إجازة أسبوعية"),0,
IF(H939&lt;=E939+TIME(0,30,0),0,
30+((H939-(E939+TIME(0,30,0)))*1440)))</f>
        <v>0</v>
      </c>
      <c r="M939" s="23">
        <f>(L939/60)*VLOOKUP(C939,Employees!A:J,10,0)*2</f>
        <v>0</v>
      </c>
      <c r="N939" s="24">
        <f t="shared" ref="N939:N944" si="414">IF(OR(I939="",G939="غياب",G939="إجازة أسبوعية",I939&lt;=F939),0,
IF(MOD(I939-F939,1)&lt;=TIME(0,25,0),0,MAX(0,(I939-F939)*1440)))</f>
        <v>0</v>
      </c>
      <c r="O939" s="25">
        <f>(N939/60)*VLOOKUP(C939,Employees!A:J,10,0)*1.5</f>
        <v>0</v>
      </c>
      <c r="P939" s="23">
        <f>IF(G939="غياب",VLOOKUP(C939,Employees!$A$3:$J$36,9,FALSE()),0)</f>
        <v>0</v>
      </c>
    </row>
    <row r="940" spans="1:16" ht="15" customHeight="1">
      <c r="A940" s="17" t="s">
        <v>82</v>
      </c>
      <c r="B940" s="19" t="s">
        <v>83</v>
      </c>
      <c r="C940" s="19" t="s">
        <v>52</v>
      </c>
      <c r="D940" s="19" t="str">
        <f>VLOOKUP(C940,Employees!A:J,2,0)</f>
        <v>مراون عادل</v>
      </c>
      <c r="E940" s="20"/>
      <c r="F940" s="20"/>
      <c r="G940" s="21" t="s">
        <v>69</v>
      </c>
      <c r="H940" s="20"/>
      <c r="I940" s="20"/>
      <c r="J940" s="22">
        <f t="shared" si="412"/>
        <v>0</v>
      </c>
      <c r="K940" s="47">
        <f>(J940/60)*VLOOKUP(C940,Employees!A:J,10,0)*1.5</f>
        <v>0</v>
      </c>
      <c r="L940" s="22">
        <f t="shared" si="413"/>
        <v>0</v>
      </c>
      <c r="M940" s="23">
        <f>(L940/60)*VLOOKUP(C940,Employees!A:J,10,0)*2</f>
        <v>0</v>
      </c>
      <c r="N940" s="24">
        <f t="shared" si="414"/>
        <v>0</v>
      </c>
      <c r="O940" s="25">
        <f>(N940/60)*VLOOKUP(C940,Employees!A:J,10,0)*1.5</f>
        <v>0</v>
      </c>
      <c r="P940" s="23">
        <f>IF(G940="غياب",VLOOKUP(C940,Employees!$A$3:$J$36,9,FALSE()),0)</f>
        <v>0</v>
      </c>
    </row>
    <row r="941" spans="1:16" ht="15" customHeight="1">
      <c r="A941" s="17" t="s">
        <v>84</v>
      </c>
      <c r="B941" s="19" t="s">
        <v>68</v>
      </c>
      <c r="C941" s="19" t="s">
        <v>52</v>
      </c>
      <c r="D941" s="19" t="str">
        <f>VLOOKUP(C941,Employees!A:J,2,0)</f>
        <v>مراون عادل</v>
      </c>
      <c r="E941" s="20"/>
      <c r="F941" s="20"/>
      <c r="G941" s="21" t="s">
        <v>69</v>
      </c>
      <c r="H941" s="20"/>
      <c r="I941" s="20"/>
      <c r="J941" s="22">
        <f t="shared" si="412"/>
        <v>0</v>
      </c>
      <c r="K941" s="47">
        <f>(J941/60)*VLOOKUP(C941,Employees!A:J,10,0)*1.5</f>
        <v>0</v>
      </c>
      <c r="L941" s="22">
        <f t="shared" si="413"/>
        <v>0</v>
      </c>
      <c r="M941" s="23">
        <f>(L941/60)*VLOOKUP(C941,Employees!A:J,10,0)*2</f>
        <v>0</v>
      </c>
      <c r="N941" s="24">
        <f t="shared" si="414"/>
        <v>0</v>
      </c>
      <c r="O941" s="25">
        <f>(N941/60)*VLOOKUP(C941,Employees!A:J,10,0)*1.5</f>
        <v>0</v>
      </c>
      <c r="P941" s="23">
        <f>IF(G941="غياب",VLOOKUP(C941,Employees!$A$3:$J$36,9,FALSE()),0)</f>
        <v>0</v>
      </c>
    </row>
    <row r="942" spans="1:16" ht="15" customHeight="1">
      <c r="A942" s="17" t="s">
        <v>85</v>
      </c>
      <c r="B942" s="19" t="s">
        <v>71</v>
      </c>
      <c r="C942" s="19" t="s">
        <v>52</v>
      </c>
      <c r="D942" s="19" t="str">
        <f>VLOOKUP(C942,Employees!A:J,2,0)</f>
        <v>مراون عادل</v>
      </c>
      <c r="E942" s="20"/>
      <c r="F942" s="20"/>
      <c r="G942" s="21" t="s">
        <v>69</v>
      </c>
      <c r="H942" s="20"/>
      <c r="I942" s="20"/>
      <c r="J942" s="22">
        <f t="shared" si="412"/>
        <v>0</v>
      </c>
      <c r="K942" s="47">
        <f>(J942/60)*VLOOKUP(C942,Employees!A:J,10,0)*1.5</f>
        <v>0</v>
      </c>
      <c r="L942" s="22">
        <f t="shared" si="413"/>
        <v>0</v>
      </c>
      <c r="M942" s="23">
        <f>(L942/60)*VLOOKUP(C942,Employees!A:J,10,0)*2</f>
        <v>0</v>
      </c>
      <c r="N942" s="24">
        <f t="shared" si="414"/>
        <v>0</v>
      </c>
      <c r="O942" s="25">
        <f>(N942/60)*VLOOKUP(C942,Employees!A:J,10,0)*1.5</f>
        <v>0</v>
      </c>
      <c r="P942" s="23">
        <f>IF(G942="غياب",VLOOKUP(C942,Employees!$A$3:$J$36,9,FALSE()),0)</f>
        <v>0</v>
      </c>
    </row>
    <row r="943" spans="1:16" ht="15" customHeight="1">
      <c r="A943" s="17" t="s">
        <v>86</v>
      </c>
      <c r="B943" s="19" t="s">
        <v>73</v>
      </c>
      <c r="C943" s="19" t="s">
        <v>52</v>
      </c>
      <c r="D943" s="19" t="str">
        <f>VLOOKUP(C943,Employees!A:J,2,0)</f>
        <v>مراون عادل</v>
      </c>
      <c r="E943" s="20"/>
      <c r="F943" s="20"/>
      <c r="G943" s="21" t="s">
        <v>69</v>
      </c>
      <c r="H943" s="20"/>
      <c r="I943" s="20"/>
      <c r="J943" s="22">
        <f t="shared" si="412"/>
        <v>0</v>
      </c>
      <c r="K943" s="47">
        <f>(J943/60)*VLOOKUP(C943,Employees!A:J,10,0)*1.5</f>
        <v>0</v>
      </c>
      <c r="L943" s="22">
        <f t="shared" si="413"/>
        <v>0</v>
      </c>
      <c r="M943" s="23">
        <f>(L943/60)*VLOOKUP(C943,Employees!A:J,10,0)*2</f>
        <v>0</v>
      </c>
      <c r="N943" s="24">
        <f t="shared" si="414"/>
        <v>0</v>
      </c>
      <c r="O943" s="25">
        <f>(N943/60)*VLOOKUP(C943,Employees!A:J,10,0)*1.5</f>
        <v>0</v>
      </c>
      <c r="P943" s="23">
        <f>IF(G943="غياب",VLOOKUP(C943,Employees!$A$3:$J$36,9,FALSE()),0)</f>
        <v>0</v>
      </c>
    </row>
    <row r="944" spans="1:16" ht="15" customHeight="1">
      <c r="A944" s="17" t="s">
        <v>87</v>
      </c>
      <c r="B944" s="19" t="s">
        <v>75</v>
      </c>
      <c r="C944" s="19" t="s">
        <v>52</v>
      </c>
      <c r="D944" s="19" t="str">
        <f>VLOOKUP(C944,Employees!A:J,2,0)</f>
        <v>مراون عادل</v>
      </c>
      <c r="E944" s="20"/>
      <c r="F944" s="20"/>
      <c r="G944" s="21" t="s">
        <v>69</v>
      </c>
      <c r="H944" s="20"/>
      <c r="I944" s="20"/>
      <c r="J944" s="22">
        <f t="shared" si="412"/>
        <v>0</v>
      </c>
      <c r="K944" s="47">
        <f>(J944/60)*VLOOKUP(C944,Employees!A:J,10,0)*1.5</f>
        <v>0</v>
      </c>
      <c r="L944" s="22">
        <f t="shared" si="413"/>
        <v>0</v>
      </c>
      <c r="M944" s="23">
        <f>(L944/60)*VLOOKUP(C944,Employees!A:J,10,0)*2</f>
        <v>0</v>
      </c>
      <c r="N944" s="24">
        <f t="shared" si="414"/>
        <v>0</v>
      </c>
      <c r="O944" s="25">
        <f>(N944/60)*VLOOKUP(C944,Employees!A:J,10,0)*1.5</f>
        <v>0</v>
      </c>
      <c r="P944" s="23">
        <f>IF(G944="غياب",VLOOKUP(C944,Employees!$A$3:$J$36,9,FALSE()),0)</f>
        <v>0</v>
      </c>
    </row>
    <row r="945" spans="1:16" ht="15" customHeight="1">
      <c r="A945" s="26" t="s">
        <v>88</v>
      </c>
      <c r="B945" s="28" t="s">
        <v>77</v>
      </c>
      <c r="C945" s="28" t="s">
        <v>52</v>
      </c>
      <c r="D945" s="28" t="str">
        <f>VLOOKUP(C945,Employees!A:J,2,0)</f>
        <v>مراون عادل</v>
      </c>
      <c r="E945" s="29" t="s">
        <v>78</v>
      </c>
      <c r="F945" s="29" t="s">
        <v>78</v>
      </c>
      <c r="G945" s="27" t="s">
        <v>79</v>
      </c>
      <c r="H945" s="29" t="s">
        <v>78</v>
      </c>
      <c r="I945" s="29" t="s">
        <v>78</v>
      </c>
      <c r="J945" s="22" t="s">
        <v>78</v>
      </c>
      <c r="K945" s="47" t="s">
        <v>78</v>
      </c>
      <c r="L945" s="22" t="s">
        <v>78</v>
      </c>
      <c r="M945" s="23" t="s">
        <v>78</v>
      </c>
      <c r="N945" s="24" t="s">
        <v>78</v>
      </c>
      <c r="O945" s="24" t="s">
        <v>78</v>
      </c>
      <c r="P945" s="23">
        <f>IF(G945="غياب",VLOOKUP(C945,Employees!$A$3:$J$36,9,FALSE()),0)</f>
        <v>0</v>
      </c>
    </row>
    <row r="946" spans="1:16" ht="15" customHeight="1">
      <c r="A946" s="26" t="s">
        <v>89</v>
      </c>
      <c r="B946" s="28" t="s">
        <v>81</v>
      </c>
      <c r="C946" s="28" t="s">
        <v>52</v>
      </c>
      <c r="D946" s="28" t="str">
        <f>VLOOKUP(C946,Employees!A:J,2,0)</f>
        <v>مراون عادل</v>
      </c>
      <c r="E946" s="29" t="s">
        <v>78</v>
      </c>
      <c r="F946" s="29" t="s">
        <v>78</v>
      </c>
      <c r="G946" s="27" t="s">
        <v>79</v>
      </c>
      <c r="H946" s="29" t="s">
        <v>78</v>
      </c>
      <c r="I946" s="29" t="s">
        <v>78</v>
      </c>
      <c r="J946" s="22" t="s">
        <v>78</v>
      </c>
      <c r="K946" s="47" t="s">
        <v>78</v>
      </c>
      <c r="L946" s="22" t="s">
        <v>78</v>
      </c>
      <c r="M946" s="23" t="s">
        <v>78</v>
      </c>
      <c r="N946" s="24" t="s">
        <v>78</v>
      </c>
      <c r="O946" s="24" t="s">
        <v>78</v>
      </c>
      <c r="P946" s="23">
        <f>IF(G946="غياب",VLOOKUP(C946,Employees!$A$3:$J$36,9,FALSE()),0)</f>
        <v>0</v>
      </c>
    </row>
    <row r="947" spans="1:16" ht="15" customHeight="1">
      <c r="A947" s="17" t="s">
        <v>90</v>
      </c>
      <c r="B947" s="19" t="s">
        <v>83</v>
      </c>
      <c r="C947" s="19" t="s">
        <v>52</v>
      </c>
      <c r="D947" s="19" t="str">
        <f>VLOOKUP(C947,Employees!A:J,2,0)</f>
        <v>مراون عادل</v>
      </c>
      <c r="E947" s="20"/>
      <c r="F947" s="20"/>
      <c r="G947" s="21" t="s">
        <v>69</v>
      </c>
      <c r="H947" s="20"/>
      <c r="I947" s="30"/>
      <c r="J947" s="22">
        <f t="shared" ref="J947:J951" si="415">IF(OR(H947="",G947="غياب",G947="إجازة أسبوعية"),0,
IF(H947&gt;=E947-TIME(0,20,0),0,
IF(H947&gt;=E947-TIME(0,30,0),30,(E947-H947)*1440)))</f>
        <v>0</v>
      </c>
      <c r="K947" s="47">
        <f>(J947/60)*VLOOKUP(C947,Employees!A:J,10,0)*1.5</f>
        <v>0</v>
      </c>
      <c r="L947" s="22">
        <f t="shared" ref="L947:L951" si="416">IF(OR(H947="",G947="غياب",G947="إجازة أسبوعية"),0,
IF(H947&lt;=E947+TIME(0,30,0),0,
30+((H947-(E947+TIME(0,30,0)))*1440)))</f>
        <v>0</v>
      </c>
      <c r="M947" s="23">
        <f>(L947/60)*VLOOKUP(C947,Employees!A:J,10,0)*2</f>
        <v>0</v>
      </c>
      <c r="N947" s="24">
        <f t="shared" ref="N947:N951" si="417">IF(OR(I947="",G947="غياب",G947="إجازة أسبوعية",I947&lt;=F947),0,
IF(MOD(I947-F947,1)&lt;=TIME(0,25,0),0,MAX(0,(I947-F947)*1440)))</f>
        <v>0</v>
      </c>
      <c r="O947" s="25">
        <f>(N947/60)*VLOOKUP(C947,Employees!A:J,10,0)*1.5</f>
        <v>0</v>
      </c>
      <c r="P947" s="23">
        <f>IF(G947="غياب",VLOOKUP(C947,Employees!$A$3:$J$36,9,FALSE()),0)</f>
        <v>0</v>
      </c>
    </row>
    <row r="948" spans="1:16" ht="15" customHeight="1">
      <c r="A948" s="17" t="s">
        <v>91</v>
      </c>
      <c r="B948" s="19" t="s">
        <v>68</v>
      </c>
      <c r="C948" s="19" t="s">
        <v>52</v>
      </c>
      <c r="D948" s="19" t="str">
        <f>VLOOKUP(C948,Employees!A:J,2,0)</f>
        <v>مراون عادل</v>
      </c>
      <c r="E948" s="20"/>
      <c r="F948" s="20"/>
      <c r="G948" s="21" t="s">
        <v>69</v>
      </c>
      <c r="H948" s="20"/>
      <c r="I948" s="30"/>
      <c r="J948" s="22">
        <f t="shared" si="415"/>
        <v>0</v>
      </c>
      <c r="K948" s="47">
        <f>(J948/60)*VLOOKUP(C948,Employees!A:J,10,0)*1.5</f>
        <v>0</v>
      </c>
      <c r="L948" s="22">
        <f t="shared" si="416"/>
        <v>0</v>
      </c>
      <c r="M948" s="23">
        <f>(L948/60)*VLOOKUP(C948,Employees!A:J,10,0)*2</f>
        <v>0</v>
      </c>
      <c r="N948" s="24">
        <f t="shared" si="417"/>
        <v>0</v>
      </c>
      <c r="O948" s="25">
        <f>(N948/60)*VLOOKUP(C948,Employees!A:J,10,0)*1.5</f>
        <v>0</v>
      </c>
      <c r="P948" s="23">
        <f>IF(G948="غياب",VLOOKUP(C948,Employees!$A$3:$J$36,9,FALSE()),0)</f>
        <v>0</v>
      </c>
    </row>
    <row r="949" spans="1:16" ht="15" customHeight="1">
      <c r="A949" s="17" t="s">
        <v>92</v>
      </c>
      <c r="B949" s="19" t="s">
        <v>71</v>
      </c>
      <c r="C949" s="19" t="s">
        <v>52</v>
      </c>
      <c r="D949" s="19" t="str">
        <f>VLOOKUP(C949,Employees!A:J,2,0)</f>
        <v>مراون عادل</v>
      </c>
      <c r="E949" s="20"/>
      <c r="F949" s="20"/>
      <c r="G949" s="21" t="s">
        <v>69</v>
      </c>
      <c r="H949" s="20"/>
      <c r="I949" s="30"/>
      <c r="J949" s="22">
        <f t="shared" si="415"/>
        <v>0</v>
      </c>
      <c r="K949" s="47">
        <f>(J949/60)*VLOOKUP(C949,Employees!A:J,10,0)*1.5</f>
        <v>0</v>
      </c>
      <c r="L949" s="22">
        <f t="shared" si="416"/>
        <v>0</v>
      </c>
      <c r="M949" s="23">
        <f>(L949/60)*VLOOKUP(C949,Employees!A:J,10,0)*2</f>
        <v>0</v>
      </c>
      <c r="N949" s="24">
        <f t="shared" si="417"/>
        <v>0</v>
      </c>
      <c r="O949" s="25">
        <f>(N949/60)*VLOOKUP(C949,Employees!A:J,10,0)*1.5</f>
        <v>0</v>
      </c>
      <c r="P949" s="23">
        <f>IF(G949="غياب",VLOOKUP(C949,Employees!$A$3:$J$36,9,FALSE()),0)</f>
        <v>0</v>
      </c>
    </row>
    <row r="950" spans="1:16" ht="15" customHeight="1">
      <c r="A950" s="17" t="s">
        <v>93</v>
      </c>
      <c r="B950" s="19" t="s">
        <v>73</v>
      </c>
      <c r="C950" s="19" t="s">
        <v>52</v>
      </c>
      <c r="D950" s="19" t="str">
        <f>VLOOKUP(C950,Employees!A:J,2,0)</f>
        <v>مراون عادل</v>
      </c>
      <c r="E950" s="20"/>
      <c r="F950" s="20"/>
      <c r="G950" s="21" t="s">
        <v>69</v>
      </c>
      <c r="H950" s="20"/>
      <c r="I950" s="30"/>
      <c r="J950" s="22">
        <f t="shared" si="415"/>
        <v>0</v>
      </c>
      <c r="K950" s="47">
        <f>(J950/60)*VLOOKUP(C950,Employees!A:J,10,0)*1.5</f>
        <v>0</v>
      </c>
      <c r="L950" s="22">
        <f t="shared" si="416"/>
        <v>0</v>
      </c>
      <c r="M950" s="23">
        <f>(L950/60)*VLOOKUP(C950,Employees!A:J,10,0)*2</f>
        <v>0</v>
      </c>
      <c r="N950" s="24">
        <f t="shared" si="417"/>
        <v>0</v>
      </c>
      <c r="O950" s="25">
        <f>(N950/60)*VLOOKUP(C950,Employees!A:J,10,0)*1.5</f>
        <v>0</v>
      </c>
      <c r="P950" s="23">
        <f>IF(G950="غياب",VLOOKUP(C950,Employees!$A$3:$J$36,9,FALSE()),0)</f>
        <v>0</v>
      </c>
    </row>
    <row r="951" spans="1:16" ht="15" customHeight="1">
      <c r="A951" s="17" t="s">
        <v>94</v>
      </c>
      <c r="B951" s="19" t="s">
        <v>75</v>
      </c>
      <c r="C951" s="19" t="s">
        <v>52</v>
      </c>
      <c r="D951" s="19" t="str">
        <f>VLOOKUP(C951,Employees!A:J,2,0)</f>
        <v>مراون عادل</v>
      </c>
      <c r="E951" s="20"/>
      <c r="F951" s="20"/>
      <c r="G951" s="21" t="s">
        <v>69</v>
      </c>
      <c r="H951" s="20"/>
      <c r="I951" s="30"/>
      <c r="J951" s="22">
        <f t="shared" si="415"/>
        <v>0</v>
      </c>
      <c r="K951" s="47">
        <f>(J951/60)*VLOOKUP(C951,Employees!A:J,10,0)*1.5</f>
        <v>0</v>
      </c>
      <c r="L951" s="22">
        <f t="shared" si="416"/>
        <v>0</v>
      </c>
      <c r="M951" s="23">
        <f>(L951/60)*VLOOKUP(C951,Employees!A:J,10,0)*2</f>
        <v>0</v>
      </c>
      <c r="N951" s="24">
        <f t="shared" si="417"/>
        <v>0</v>
      </c>
      <c r="O951" s="25">
        <f>(N951/60)*VLOOKUP(C951,Employees!A:J,10,0)*1.5</f>
        <v>0</v>
      </c>
      <c r="P951" s="23">
        <f>IF(G951="غياب",VLOOKUP(C951,Employees!$A$3:$J$36,9,FALSE()),0)</f>
        <v>0</v>
      </c>
    </row>
    <row r="952" spans="1:16" ht="15" customHeight="1">
      <c r="A952" s="26" t="s">
        <v>95</v>
      </c>
      <c r="B952" s="28" t="s">
        <v>77</v>
      </c>
      <c r="C952" s="28" t="s">
        <v>52</v>
      </c>
      <c r="D952" s="28" t="str">
        <f>VLOOKUP(C952,Employees!A:J,2,0)</f>
        <v>مراون عادل</v>
      </c>
      <c r="E952" s="29" t="s">
        <v>78</v>
      </c>
      <c r="F952" s="29" t="s">
        <v>78</v>
      </c>
      <c r="G952" s="27" t="s">
        <v>79</v>
      </c>
      <c r="H952" s="29" t="s">
        <v>78</v>
      </c>
      <c r="I952" s="29" t="s">
        <v>78</v>
      </c>
      <c r="J952" s="22" t="s">
        <v>78</v>
      </c>
      <c r="K952" s="47" t="s">
        <v>78</v>
      </c>
      <c r="L952" s="22" t="s">
        <v>78</v>
      </c>
      <c r="M952" s="23" t="s">
        <v>78</v>
      </c>
      <c r="N952" s="24" t="s">
        <v>78</v>
      </c>
      <c r="O952" s="24" t="s">
        <v>78</v>
      </c>
      <c r="P952" s="23">
        <f>IF(G952="غياب",VLOOKUP(C952,Employees!$A$3:$J$36,9,FALSE()),0)</f>
        <v>0</v>
      </c>
    </row>
    <row r="953" spans="1:16" ht="15" customHeight="1">
      <c r="A953" s="17" t="s">
        <v>96</v>
      </c>
      <c r="B953" s="19" t="s">
        <v>81</v>
      </c>
      <c r="C953" s="19" t="s">
        <v>52</v>
      </c>
      <c r="D953" s="19" t="str">
        <f>VLOOKUP(C953,Employees!A:J,2,0)</f>
        <v>مراون عادل</v>
      </c>
      <c r="E953" s="20"/>
      <c r="F953" s="20"/>
      <c r="G953" s="21" t="s">
        <v>69</v>
      </c>
      <c r="H953" s="20"/>
      <c r="I953" s="30"/>
      <c r="J953" s="22">
        <f t="shared" ref="J953:J958" si="418">IF(OR(H953="",G953="غياب",G953="إجازة أسبوعية"),0,
IF(H953&gt;=E953-TIME(0,20,0),0,
IF(H953&gt;=E953-TIME(0,30,0),30,(E953-H953)*1440)))</f>
        <v>0</v>
      </c>
      <c r="K953" s="47">
        <f>(J953/60)*VLOOKUP(C953,Employees!A:J,10,0)*1.5</f>
        <v>0</v>
      </c>
      <c r="L953" s="22">
        <f t="shared" ref="L953:L958" si="419">IF(OR(H953="",G953="غياب",G953="إجازة أسبوعية"),0,
IF(H953&lt;=E953+TIME(0,30,0),0,
30+((H953-(E953+TIME(0,30,0)))*1440)))</f>
        <v>0</v>
      </c>
      <c r="M953" s="23">
        <f>(L953/60)*VLOOKUP(C953,Employees!A:J,10,0)*2</f>
        <v>0</v>
      </c>
      <c r="N953" s="24">
        <f t="shared" ref="N953:N958" si="420">IF(OR(I953="",G953="غياب",G953="إجازة أسبوعية",I953&lt;=F953),0,
IF(MOD(I953-F953,1)&lt;=TIME(0,25,0),0,MAX(0,(I953-F953)*1440)))</f>
        <v>0</v>
      </c>
      <c r="O953" s="25">
        <f>(N953/60)*VLOOKUP(C953,Employees!A:J,10,0)*1.5</f>
        <v>0</v>
      </c>
      <c r="P953" s="23">
        <f>IF(G953="غياب",VLOOKUP(C953,Employees!$A$3:$J$36,9,FALSE()),0)</f>
        <v>0</v>
      </c>
    </row>
    <row r="954" spans="1:16" ht="15" customHeight="1">
      <c r="A954" s="17" t="s">
        <v>97</v>
      </c>
      <c r="B954" s="19" t="s">
        <v>83</v>
      </c>
      <c r="C954" s="19" t="s">
        <v>52</v>
      </c>
      <c r="D954" s="19" t="str">
        <f>VLOOKUP(C954,Employees!A:J,2,0)</f>
        <v>مراون عادل</v>
      </c>
      <c r="E954" s="20"/>
      <c r="F954" s="20"/>
      <c r="G954" s="21" t="s">
        <v>69</v>
      </c>
      <c r="H954" s="20"/>
      <c r="I954" s="20"/>
      <c r="J954" s="22">
        <f t="shared" si="418"/>
        <v>0</v>
      </c>
      <c r="K954" s="47">
        <f>(J954/60)*VLOOKUP(C954,Employees!A:J,10,0)*1.5</f>
        <v>0</v>
      </c>
      <c r="L954" s="22">
        <f t="shared" si="419"/>
        <v>0</v>
      </c>
      <c r="M954" s="23">
        <f>(L954/60)*VLOOKUP(C954,Employees!A:J,10,0)*2</f>
        <v>0</v>
      </c>
      <c r="N954" s="24">
        <f t="shared" si="420"/>
        <v>0</v>
      </c>
      <c r="O954" s="25">
        <f>(N954/60)*VLOOKUP(C954,Employees!A:J,10,0)*1.5</f>
        <v>0</v>
      </c>
      <c r="P954" s="23">
        <f>IF(G954="غياب",VLOOKUP(C954,Employees!$A$3:$J$36,9,FALSE()),0)</f>
        <v>0</v>
      </c>
    </row>
    <row r="955" spans="1:16" ht="15" customHeight="1">
      <c r="A955" s="17" t="s">
        <v>98</v>
      </c>
      <c r="B955" s="19" t="s">
        <v>68</v>
      </c>
      <c r="C955" s="19" t="s">
        <v>52</v>
      </c>
      <c r="D955" s="19" t="str">
        <f>VLOOKUP(C955,Employees!A:J,2,0)</f>
        <v>مراون عادل</v>
      </c>
      <c r="E955" s="20"/>
      <c r="F955" s="20"/>
      <c r="G955" s="21" t="s">
        <v>69</v>
      </c>
      <c r="H955" s="20"/>
      <c r="I955" s="20"/>
      <c r="J955" s="22">
        <f t="shared" si="418"/>
        <v>0</v>
      </c>
      <c r="K955" s="47">
        <f>(J955/60)*VLOOKUP(C955,Employees!A:J,10,0)*1.5</f>
        <v>0</v>
      </c>
      <c r="L955" s="22">
        <f t="shared" si="419"/>
        <v>0</v>
      </c>
      <c r="M955" s="23">
        <f>(L955/60)*VLOOKUP(C955,Employees!A:J,10,0)*2</f>
        <v>0</v>
      </c>
      <c r="N955" s="24">
        <f t="shared" si="420"/>
        <v>0</v>
      </c>
      <c r="O955" s="25">
        <f>(N955/60)*VLOOKUP(C955,Employees!A:J,10,0)*1.5</f>
        <v>0</v>
      </c>
      <c r="P955" s="23">
        <f>IF(G955="غياب",VLOOKUP(C955,Employees!$A$3:$J$36,9,FALSE()),0)</f>
        <v>0</v>
      </c>
    </row>
    <row r="956" spans="1:16" ht="15" customHeight="1">
      <c r="A956" s="17" t="s">
        <v>99</v>
      </c>
      <c r="B956" s="19" t="s">
        <v>71</v>
      </c>
      <c r="C956" s="19" t="s">
        <v>52</v>
      </c>
      <c r="D956" s="19" t="str">
        <f>VLOOKUP(C956,Employees!A:J,2,0)</f>
        <v>مراون عادل</v>
      </c>
      <c r="E956" s="20"/>
      <c r="F956" s="20"/>
      <c r="G956" s="21" t="s">
        <v>69</v>
      </c>
      <c r="H956" s="20"/>
      <c r="I956" s="20"/>
      <c r="J956" s="22">
        <f t="shared" si="418"/>
        <v>0</v>
      </c>
      <c r="K956" s="47">
        <f>(J956/60)*VLOOKUP(C956,Employees!A:J,10,0)*1.5</f>
        <v>0</v>
      </c>
      <c r="L956" s="22">
        <f t="shared" si="419"/>
        <v>0</v>
      </c>
      <c r="M956" s="23">
        <f>(L956/60)*VLOOKUP(C956,Employees!A:J,10,0)*2</f>
        <v>0</v>
      </c>
      <c r="N956" s="24">
        <f t="shared" si="420"/>
        <v>0</v>
      </c>
      <c r="O956" s="25">
        <f>(N956/60)*VLOOKUP(C956,Employees!A:J,10,0)*1.5</f>
        <v>0</v>
      </c>
      <c r="P956" s="23">
        <f>IF(G956="غياب",VLOOKUP(C956,Employees!$A$3:$J$36,9,FALSE()),0)</f>
        <v>0</v>
      </c>
    </row>
    <row r="957" spans="1:16" ht="15" customHeight="1">
      <c r="A957" s="17" t="s">
        <v>100</v>
      </c>
      <c r="B957" s="19" t="s">
        <v>73</v>
      </c>
      <c r="C957" s="19" t="s">
        <v>52</v>
      </c>
      <c r="D957" s="19" t="str">
        <f>VLOOKUP(C957,Employees!A:J,2,0)</f>
        <v>مراون عادل</v>
      </c>
      <c r="E957" s="20"/>
      <c r="F957" s="20"/>
      <c r="G957" s="21" t="s">
        <v>69</v>
      </c>
      <c r="H957" s="20"/>
      <c r="I957" s="20"/>
      <c r="J957" s="22">
        <f t="shared" si="418"/>
        <v>0</v>
      </c>
      <c r="K957" s="47">
        <f>(J957/60)*VLOOKUP(C957,Employees!A:J,10,0)*1.5</f>
        <v>0</v>
      </c>
      <c r="L957" s="22">
        <f t="shared" si="419"/>
        <v>0</v>
      </c>
      <c r="M957" s="23">
        <f>(L957/60)*VLOOKUP(C957,Employees!A:J,10,0)*2</f>
        <v>0</v>
      </c>
      <c r="N957" s="24">
        <f t="shared" si="420"/>
        <v>0</v>
      </c>
      <c r="O957" s="25">
        <f>(N957/60)*VLOOKUP(C957,Employees!A:J,10,0)*1.5</f>
        <v>0</v>
      </c>
      <c r="P957" s="23">
        <f>IF(G957="غياب",VLOOKUP(C957,Employees!$A$3:$J$36,9,FALSE()),0)</f>
        <v>0</v>
      </c>
    </row>
    <row r="958" spans="1:16" ht="15" customHeight="1">
      <c r="A958" s="17" t="s">
        <v>101</v>
      </c>
      <c r="B958" s="19" t="s">
        <v>75</v>
      </c>
      <c r="C958" s="19" t="s">
        <v>52</v>
      </c>
      <c r="D958" s="19" t="str">
        <f>VLOOKUP(C958,Employees!A:J,2,0)</f>
        <v>مراون عادل</v>
      </c>
      <c r="E958" s="20"/>
      <c r="F958" s="20"/>
      <c r="G958" s="21" t="s">
        <v>69</v>
      </c>
      <c r="H958" s="20"/>
      <c r="I958" s="20"/>
      <c r="J958" s="22">
        <f t="shared" si="418"/>
        <v>0</v>
      </c>
      <c r="K958" s="47">
        <f>(J958/60)*VLOOKUP(C958,Employees!A:J,10,0)*1.5</f>
        <v>0</v>
      </c>
      <c r="L958" s="22">
        <f t="shared" si="419"/>
        <v>0</v>
      </c>
      <c r="M958" s="23">
        <f>(L958/60)*VLOOKUP(C958,Employees!A:J,10,0)*2</f>
        <v>0</v>
      </c>
      <c r="N958" s="24">
        <f t="shared" si="420"/>
        <v>0</v>
      </c>
      <c r="O958" s="25">
        <f>(N958/60)*VLOOKUP(C958,Employees!A:J,10,0)*1.5</f>
        <v>0</v>
      </c>
      <c r="P958" s="23">
        <f>IF(G958="غياب",VLOOKUP(C958,Employees!$A$3:$J$36,9,FALSE()),0)</f>
        <v>0</v>
      </c>
    </row>
    <row r="959" spans="1:16" ht="15" customHeight="1">
      <c r="A959" s="26" t="s">
        <v>102</v>
      </c>
      <c r="B959" s="28" t="s">
        <v>77</v>
      </c>
      <c r="C959" s="28" t="s">
        <v>52</v>
      </c>
      <c r="D959" s="28" t="str">
        <f>VLOOKUP(C959,Employees!A:J,2,0)</f>
        <v>مراون عادل</v>
      </c>
      <c r="E959" s="29" t="s">
        <v>78</v>
      </c>
      <c r="F959" s="29" t="s">
        <v>78</v>
      </c>
      <c r="G959" s="27" t="s">
        <v>79</v>
      </c>
      <c r="H959" s="29" t="s">
        <v>78</v>
      </c>
      <c r="I959" s="29" t="s">
        <v>78</v>
      </c>
      <c r="J959" s="22" t="s">
        <v>78</v>
      </c>
      <c r="K959" s="47" t="s">
        <v>78</v>
      </c>
      <c r="L959" s="22" t="s">
        <v>78</v>
      </c>
      <c r="M959" s="23" t="s">
        <v>78</v>
      </c>
      <c r="N959" s="24" t="s">
        <v>78</v>
      </c>
      <c r="O959" s="24" t="s">
        <v>78</v>
      </c>
      <c r="P959" s="23">
        <f>IF(G959="غياب",VLOOKUP(C959,Employees!$A$3:$J$36,9,FALSE()),0)</f>
        <v>0</v>
      </c>
    </row>
    <row r="960" spans="1:16" ht="15" customHeight="1">
      <c r="A960" s="17" t="s">
        <v>103</v>
      </c>
      <c r="B960" s="19" t="s">
        <v>81</v>
      </c>
      <c r="C960" s="19" t="s">
        <v>52</v>
      </c>
      <c r="D960" s="19" t="str">
        <f>VLOOKUP(C960,Employees!A:J,2,0)</f>
        <v>مراون عادل</v>
      </c>
      <c r="E960" s="20"/>
      <c r="F960" s="20"/>
      <c r="G960" s="21" t="s">
        <v>69</v>
      </c>
      <c r="H960" s="20"/>
      <c r="I960" s="20"/>
      <c r="J960" s="22">
        <f t="shared" ref="J960:J967" si="421">IF(OR(H960="",G960="غياب",G960="إجازة أسبوعية"),0,
IF(H960&gt;=E960-TIME(0,20,0),0,
IF(H960&gt;=E960-TIME(0,30,0),30,(E960-H960)*1440)))</f>
        <v>0</v>
      </c>
      <c r="K960" s="47">
        <f>(J960/60)*VLOOKUP(C960,Employees!A:J,10,0)*1.5</f>
        <v>0</v>
      </c>
      <c r="L960" s="22">
        <f t="shared" ref="L960:L967" si="422">IF(OR(H960="",G960="غياب",G960="إجازة أسبوعية"),0,
IF(H960&lt;=E960+TIME(0,30,0),0,
30+((H960-(E960+TIME(0,30,0)))*1440)))</f>
        <v>0</v>
      </c>
      <c r="M960" s="23">
        <f>(L960/60)*VLOOKUP(C960,Employees!A:J,10,0)*2</f>
        <v>0</v>
      </c>
      <c r="N960" s="24">
        <f t="shared" ref="N960:N967" si="423">IF(OR(I960="",G960="غياب",G960="إجازة أسبوعية",I960&lt;=F960),0,
IF(MOD(I960-F960,1)&lt;=TIME(0,25,0),0,MAX(0,(I960-F960)*1440)))</f>
        <v>0</v>
      </c>
      <c r="O960" s="25">
        <f>(N960/60)*VLOOKUP(C960,Employees!A:J,10,0)*1.5</f>
        <v>0</v>
      </c>
      <c r="P960" s="23">
        <f>IF(G960="غياب",VLOOKUP(C960,Employees!$A$3:$J$36,9,FALSE()),0)</f>
        <v>0</v>
      </c>
    </row>
    <row r="961" spans="1:16" ht="15" customHeight="1">
      <c r="A961" s="17" t="s">
        <v>104</v>
      </c>
      <c r="B961" s="19" t="s">
        <v>83</v>
      </c>
      <c r="C961" s="19" t="s">
        <v>52</v>
      </c>
      <c r="D961" s="19" t="str">
        <f>VLOOKUP(C961,Employees!A:J,2,0)</f>
        <v>مراون عادل</v>
      </c>
      <c r="E961" s="20"/>
      <c r="F961" s="20"/>
      <c r="G961" s="21" t="s">
        <v>69</v>
      </c>
      <c r="H961" s="20"/>
      <c r="I961" s="20"/>
      <c r="J961" s="22">
        <f t="shared" si="421"/>
        <v>0</v>
      </c>
      <c r="K961" s="47">
        <f>(J961/60)*VLOOKUP(C961,Employees!A:J,10,0)*1.5</f>
        <v>0</v>
      </c>
      <c r="L961" s="22">
        <f t="shared" si="422"/>
        <v>0</v>
      </c>
      <c r="M961" s="23">
        <f>(L961/60)*VLOOKUP(C961,Employees!A:J,10,0)*2</f>
        <v>0</v>
      </c>
      <c r="N961" s="24">
        <f t="shared" si="423"/>
        <v>0</v>
      </c>
      <c r="O961" s="25">
        <f>(N961/60)*VLOOKUP(C961,Employees!A:J,10,0)*1.5</f>
        <v>0</v>
      </c>
      <c r="P961" s="23">
        <f>IF(G961="غياب",VLOOKUP(C961,Employees!$A$3:$J$36,9,FALSE()),0)</f>
        <v>0</v>
      </c>
    </row>
    <row r="962" spans="1:16" ht="15" customHeight="1">
      <c r="A962" s="17" t="s">
        <v>105</v>
      </c>
      <c r="B962" s="19" t="s">
        <v>68</v>
      </c>
      <c r="C962" s="19" t="s">
        <v>52</v>
      </c>
      <c r="D962" s="19" t="str">
        <f>VLOOKUP(C962,Employees!A:J,2,0)</f>
        <v>مراون عادل</v>
      </c>
      <c r="E962" s="20"/>
      <c r="F962" s="20"/>
      <c r="G962" s="21" t="s">
        <v>69</v>
      </c>
      <c r="H962" s="20"/>
      <c r="I962" s="20"/>
      <c r="J962" s="22">
        <f t="shared" si="421"/>
        <v>0</v>
      </c>
      <c r="K962" s="47">
        <f>(J962/60)*VLOOKUP(C962,Employees!A:J,10,0)*1.5</f>
        <v>0</v>
      </c>
      <c r="L962" s="22">
        <f t="shared" si="422"/>
        <v>0</v>
      </c>
      <c r="M962" s="23">
        <f>(L962/60)*VLOOKUP(C962,Employees!A:J,10,0)*2</f>
        <v>0</v>
      </c>
      <c r="N962" s="24">
        <f t="shared" si="423"/>
        <v>0</v>
      </c>
      <c r="O962" s="25">
        <f>(N962/60)*VLOOKUP(C962,Employees!A:J,10,0)*1.5</f>
        <v>0</v>
      </c>
      <c r="P962" s="23">
        <f>IF(G962="غياب",VLOOKUP(C962,Employees!$A$3:$J$36,9,FALSE()),0)</f>
        <v>0</v>
      </c>
    </row>
    <row r="963" spans="1:16" ht="15" customHeight="1">
      <c r="A963" s="17" t="s">
        <v>106</v>
      </c>
      <c r="B963" s="19" t="s">
        <v>71</v>
      </c>
      <c r="C963" s="19" t="s">
        <v>52</v>
      </c>
      <c r="D963" s="19" t="str">
        <f>VLOOKUP(C963,Employees!A:J,2,0)</f>
        <v>مراون عادل</v>
      </c>
      <c r="E963" s="20"/>
      <c r="F963" s="20"/>
      <c r="G963" s="21" t="s">
        <v>69</v>
      </c>
      <c r="H963" s="20"/>
      <c r="I963" s="20"/>
      <c r="J963" s="22">
        <f t="shared" si="421"/>
        <v>0</v>
      </c>
      <c r="K963" s="47">
        <f>(J963/60)*VLOOKUP(C963,Employees!A:J,10,0)*1.5</f>
        <v>0</v>
      </c>
      <c r="L963" s="22">
        <f t="shared" si="422"/>
        <v>0</v>
      </c>
      <c r="M963" s="23">
        <f>(L963/60)*VLOOKUP(C963,Employees!A:J,10,0)*2</f>
        <v>0</v>
      </c>
      <c r="N963" s="24">
        <f t="shared" si="423"/>
        <v>0</v>
      </c>
      <c r="O963" s="25">
        <f>(N963/60)*VLOOKUP(C963,Employees!A:J,10,0)*1.5</f>
        <v>0</v>
      </c>
      <c r="P963" s="23">
        <f>IF(G963="غياب",VLOOKUP(C963,Employees!$A$3:$J$36,9,FALSE()),0)</f>
        <v>0</v>
      </c>
    </row>
    <row r="964" spans="1:16" ht="15" customHeight="1">
      <c r="A964" s="17" t="s">
        <v>67</v>
      </c>
      <c r="B964" s="19" t="s">
        <v>68</v>
      </c>
      <c r="C964" s="19" t="s">
        <v>53</v>
      </c>
      <c r="D964" s="19" t="str">
        <f>VLOOKUP(C964,Employees!A:J,2,0)</f>
        <v>سعد محمد</v>
      </c>
      <c r="E964" s="20">
        <v>0.41666666666666702</v>
      </c>
      <c r="F964" s="20">
        <v>0.75</v>
      </c>
      <c r="G964" s="21" t="s">
        <v>69</v>
      </c>
      <c r="H964" s="20"/>
      <c r="I964" s="20"/>
      <c r="J964" s="22">
        <f t="shared" si="421"/>
        <v>0</v>
      </c>
      <c r="K964" s="47">
        <f>(J964/60)*VLOOKUP(C964,Employees!A:J,10,0)*1.5</f>
        <v>0</v>
      </c>
      <c r="L964" s="22">
        <f t="shared" si="422"/>
        <v>0</v>
      </c>
      <c r="M964" s="23">
        <f>(L964/60)*VLOOKUP(C964,Employees!A:J,10,0)*2</f>
        <v>0</v>
      </c>
      <c r="N964" s="24">
        <f t="shared" si="423"/>
        <v>0</v>
      </c>
      <c r="O964" s="25">
        <f>(N964/60)*VLOOKUP(C964,Employees!A:J,10,0)*1.5</f>
        <v>0</v>
      </c>
      <c r="P964" s="23">
        <f>IF(G964="غياب",VLOOKUP(C964,Employees!$A$3:$J$36,9,FALSE()),0)</f>
        <v>0</v>
      </c>
    </row>
    <row r="965" spans="1:16" ht="15" customHeight="1">
      <c r="A965" s="17" t="s">
        <v>70</v>
      </c>
      <c r="B965" s="19" t="s">
        <v>71</v>
      </c>
      <c r="C965" s="19" t="s">
        <v>53</v>
      </c>
      <c r="D965" s="19" t="str">
        <f>VLOOKUP(C965,Employees!A:J,2,0)</f>
        <v>سعد محمد</v>
      </c>
      <c r="E965" s="20">
        <v>0.41666666666666702</v>
      </c>
      <c r="F965" s="20">
        <v>0.75</v>
      </c>
      <c r="G965" s="21" t="s">
        <v>69</v>
      </c>
      <c r="H965" s="20"/>
      <c r="I965" s="20"/>
      <c r="J965" s="22">
        <f t="shared" si="421"/>
        <v>0</v>
      </c>
      <c r="K965" s="47">
        <f>(J965/60)*VLOOKUP(C965,Employees!A:J,10,0)*1.5</f>
        <v>0</v>
      </c>
      <c r="L965" s="22">
        <f t="shared" si="422"/>
        <v>0</v>
      </c>
      <c r="M965" s="23">
        <f>(L965/60)*VLOOKUP(C965,Employees!A:J,10,0)*2</f>
        <v>0</v>
      </c>
      <c r="N965" s="24">
        <f t="shared" si="423"/>
        <v>0</v>
      </c>
      <c r="O965" s="25">
        <f>(N965/60)*VLOOKUP(C965,Employees!A:J,10,0)*1.5</f>
        <v>0</v>
      </c>
      <c r="P965" s="23">
        <f>IF(G965="غياب",VLOOKUP(C965,Employees!$A$3:$J$36,9,FALSE()),0)</f>
        <v>0</v>
      </c>
    </row>
    <row r="966" spans="1:16" ht="15" customHeight="1">
      <c r="A966" s="17" t="s">
        <v>72</v>
      </c>
      <c r="B966" s="19" t="s">
        <v>73</v>
      </c>
      <c r="C966" s="19" t="s">
        <v>53</v>
      </c>
      <c r="D966" s="19" t="str">
        <f>VLOOKUP(C966,Employees!A:J,2,0)</f>
        <v>سعد محمد</v>
      </c>
      <c r="E966" s="20">
        <v>0.41666666666666702</v>
      </c>
      <c r="F966" s="20">
        <v>0.75</v>
      </c>
      <c r="G966" s="21" t="s">
        <v>69</v>
      </c>
      <c r="H966" s="20"/>
      <c r="I966" s="20"/>
      <c r="J966" s="22">
        <f t="shared" si="421"/>
        <v>0</v>
      </c>
      <c r="K966" s="47">
        <f>(J966/60)*VLOOKUP(C966,Employees!A:J,10,0)*1.5</f>
        <v>0</v>
      </c>
      <c r="L966" s="22">
        <f t="shared" si="422"/>
        <v>0</v>
      </c>
      <c r="M966" s="23">
        <f>(L966/60)*VLOOKUP(C966,Employees!A:J,10,0)*2</f>
        <v>0</v>
      </c>
      <c r="N966" s="24">
        <f t="shared" si="423"/>
        <v>0</v>
      </c>
      <c r="O966" s="25">
        <f>(N966/60)*VLOOKUP(C966,Employees!A:J,10,0)*1.5</f>
        <v>0</v>
      </c>
      <c r="P966" s="23">
        <f>IF(G966="غياب",VLOOKUP(C966,Employees!$A$3:$J$36,9,FALSE()),0)</f>
        <v>0</v>
      </c>
    </row>
    <row r="967" spans="1:16" ht="15" customHeight="1">
      <c r="A967" s="17" t="s">
        <v>74</v>
      </c>
      <c r="B967" s="19" t="s">
        <v>75</v>
      </c>
      <c r="C967" s="19" t="s">
        <v>53</v>
      </c>
      <c r="D967" s="19" t="str">
        <f>VLOOKUP(C967,Employees!A:J,2,0)</f>
        <v>سعد محمد</v>
      </c>
      <c r="E967" s="20">
        <v>0.41666666666666702</v>
      </c>
      <c r="F967" s="20">
        <v>0.75</v>
      </c>
      <c r="G967" s="21" t="s">
        <v>69</v>
      </c>
      <c r="H967" s="20"/>
      <c r="I967" s="20"/>
      <c r="J967" s="22">
        <f t="shared" si="421"/>
        <v>0</v>
      </c>
      <c r="K967" s="47">
        <f>(J967/60)*VLOOKUP(C967,Employees!A:J,10,0)*1.5</f>
        <v>0</v>
      </c>
      <c r="L967" s="22">
        <f t="shared" si="422"/>
        <v>0</v>
      </c>
      <c r="M967" s="23">
        <f>(L967/60)*VLOOKUP(C967,Employees!A:J,10,0)*2</f>
        <v>0</v>
      </c>
      <c r="N967" s="24">
        <f t="shared" si="423"/>
        <v>0</v>
      </c>
      <c r="O967" s="25">
        <f>(N967/60)*VLOOKUP(C967,Employees!A:J,10,0)*1.5</f>
        <v>0</v>
      </c>
      <c r="P967" s="23">
        <f>IF(G967="غياب",VLOOKUP(C967,Employees!$A$3:$J$36,9,FALSE()),0)</f>
        <v>0</v>
      </c>
    </row>
    <row r="968" spans="1:16" ht="15" customHeight="1">
      <c r="A968" s="26" t="s">
        <v>76</v>
      </c>
      <c r="B968" s="28" t="s">
        <v>77</v>
      </c>
      <c r="C968" s="28" t="s">
        <v>53</v>
      </c>
      <c r="D968" s="28" t="str">
        <f>VLOOKUP(C968,Employees!A:J,2,0)</f>
        <v>سعد محمد</v>
      </c>
      <c r="E968" s="29" t="s">
        <v>78</v>
      </c>
      <c r="F968" s="29" t="s">
        <v>78</v>
      </c>
      <c r="G968" s="27" t="s">
        <v>79</v>
      </c>
      <c r="H968" s="29" t="s">
        <v>78</v>
      </c>
      <c r="I968" s="29" t="s">
        <v>78</v>
      </c>
      <c r="J968" s="22" t="s">
        <v>78</v>
      </c>
      <c r="K968" s="47" t="s">
        <v>78</v>
      </c>
      <c r="L968" s="22" t="s">
        <v>78</v>
      </c>
      <c r="M968" s="23" t="s">
        <v>78</v>
      </c>
      <c r="N968" s="24" t="s">
        <v>78</v>
      </c>
      <c r="O968" s="24" t="s">
        <v>78</v>
      </c>
      <c r="P968" s="23">
        <f>IF(G968="غياب",VLOOKUP(C968,Employees!$A$3:$J$36,9,FALSE()),0)</f>
        <v>0</v>
      </c>
    </row>
    <row r="969" spans="1:16" ht="15" customHeight="1">
      <c r="A969" s="17" t="s">
        <v>80</v>
      </c>
      <c r="B969" s="19" t="s">
        <v>81</v>
      </c>
      <c r="C969" s="19" t="s">
        <v>53</v>
      </c>
      <c r="D969" s="19" t="str">
        <f>VLOOKUP(C969,Employees!A:J,2,0)</f>
        <v>سعد محمد</v>
      </c>
      <c r="E969" s="20">
        <v>0.41666666666666702</v>
      </c>
      <c r="F969" s="20">
        <v>0.75</v>
      </c>
      <c r="G969" s="21" t="s">
        <v>69</v>
      </c>
      <c r="H969" s="20"/>
      <c r="I969" s="20"/>
      <c r="J969" s="22">
        <f t="shared" ref="J969:J974" si="424">IF(OR(H969="",G969="غياب",G969="إجازة أسبوعية"),0,
IF(H969&gt;=E969-TIME(0,20,0),0,
IF(H969&gt;=E969-TIME(0,30,0),30,(E969-H969)*1440)))</f>
        <v>0</v>
      </c>
      <c r="K969" s="47">
        <f>(J969/60)*VLOOKUP(C969,Employees!A:J,10,0)*1.5</f>
        <v>0</v>
      </c>
      <c r="L969" s="22">
        <f t="shared" ref="L969:L974" si="425">IF(OR(H969="",G969="غياب",G969="إجازة أسبوعية"),0,
IF(H969&lt;=E969+TIME(0,30,0),0,
30+((H969-(E969+TIME(0,30,0)))*1440)))</f>
        <v>0</v>
      </c>
      <c r="M969" s="23">
        <f>(L969/60)*VLOOKUP(C969,Employees!A:J,10,0)*2</f>
        <v>0</v>
      </c>
      <c r="N969" s="24">
        <f t="shared" ref="N969:N974" si="426">IF(OR(I969="",G969="غياب",G969="إجازة أسبوعية",I969&lt;=F969),0,
IF(MOD(I969-F969,1)&lt;=TIME(0,25,0),0,MAX(0,(I969-F969)*1440)))</f>
        <v>0</v>
      </c>
      <c r="O969" s="25">
        <f>(N969/60)*VLOOKUP(C969,Employees!A:J,10,0)*1.5</f>
        <v>0</v>
      </c>
      <c r="P969" s="23">
        <f>IF(G969="غياب",VLOOKUP(C969,Employees!$A$3:$J$36,9,FALSE()),0)</f>
        <v>0</v>
      </c>
    </row>
    <row r="970" spans="1:16" ht="15" customHeight="1">
      <c r="A970" s="17" t="s">
        <v>82</v>
      </c>
      <c r="B970" s="19" t="s">
        <v>83</v>
      </c>
      <c r="C970" s="19" t="s">
        <v>53</v>
      </c>
      <c r="D970" s="19" t="str">
        <f>VLOOKUP(C970,Employees!A:J,2,0)</f>
        <v>سعد محمد</v>
      </c>
      <c r="E970" s="20">
        <v>0.41666666666666702</v>
      </c>
      <c r="F970" s="20">
        <v>0.75</v>
      </c>
      <c r="G970" s="21" t="s">
        <v>69</v>
      </c>
      <c r="H970" s="20"/>
      <c r="I970" s="20"/>
      <c r="J970" s="22">
        <f t="shared" si="424"/>
        <v>0</v>
      </c>
      <c r="K970" s="47">
        <f>(J970/60)*VLOOKUP(C970,Employees!A:J,10,0)*1.5</f>
        <v>0</v>
      </c>
      <c r="L970" s="22">
        <f t="shared" si="425"/>
        <v>0</v>
      </c>
      <c r="M970" s="23">
        <f>(L970/60)*VLOOKUP(C970,Employees!A:J,10,0)*2</f>
        <v>0</v>
      </c>
      <c r="N970" s="24">
        <f t="shared" si="426"/>
        <v>0</v>
      </c>
      <c r="O970" s="25">
        <f>(N970/60)*VLOOKUP(C970,Employees!A:J,10,0)*1.5</f>
        <v>0</v>
      </c>
      <c r="P970" s="23">
        <f>IF(G970="غياب",VLOOKUP(C970,Employees!$A$3:$J$36,9,FALSE()),0)</f>
        <v>0</v>
      </c>
    </row>
    <row r="971" spans="1:16" ht="15" customHeight="1">
      <c r="A971" s="17" t="s">
        <v>84</v>
      </c>
      <c r="B971" s="19" t="s">
        <v>68</v>
      </c>
      <c r="C971" s="19" t="s">
        <v>53</v>
      </c>
      <c r="D971" s="19" t="str">
        <f>VLOOKUP(C971,Employees!A:J,2,0)</f>
        <v>سعد محمد</v>
      </c>
      <c r="E971" s="20">
        <v>0.41666666666666702</v>
      </c>
      <c r="F971" s="20">
        <v>0.75</v>
      </c>
      <c r="G971" s="21" t="s">
        <v>69</v>
      </c>
      <c r="H971" s="20"/>
      <c r="I971" s="20"/>
      <c r="J971" s="22">
        <f t="shared" si="424"/>
        <v>0</v>
      </c>
      <c r="K971" s="47">
        <f>(J971/60)*VLOOKUP(C971,Employees!A:J,10,0)*1.5</f>
        <v>0</v>
      </c>
      <c r="L971" s="22">
        <f t="shared" si="425"/>
        <v>0</v>
      </c>
      <c r="M971" s="23">
        <f>(L971/60)*VLOOKUP(C971,Employees!A:J,10,0)*2</f>
        <v>0</v>
      </c>
      <c r="N971" s="24">
        <f t="shared" si="426"/>
        <v>0</v>
      </c>
      <c r="O971" s="25">
        <f>(N971/60)*VLOOKUP(C971,Employees!A:J,10,0)*1.5</f>
        <v>0</v>
      </c>
      <c r="P971" s="23">
        <f>IF(G971="غياب",VLOOKUP(C971,Employees!$A$3:$J$36,9,FALSE()),0)</f>
        <v>0</v>
      </c>
    </row>
    <row r="972" spans="1:16" ht="15" customHeight="1">
      <c r="A972" s="17" t="s">
        <v>85</v>
      </c>
      <c r="B972" s="19" t="s">
        <v>71</v>
      </c>
      <c r="C972" s="19" t="s">
        <v>53</v>
      </c>
      <c r="D972" s="19" t="str">
        <f>VLOOKUP(C972,Employees!A:J,2,0)</f>
        <v>سعد محمد</v>
      </c>
      <c r="E972" s="20">
        <v>0.41666666666666702</v>
      </c>
      <c r="F972" s="20">
        <v>0.75</v>
      </c>
      <c r="G972" s="21" t="s">
        <v>69</v>
      </c>
      <c r="H972" s="20"/>
      <c r="I972" s="20"/>
      <c r="J972" s="22">
        <f t="shared" si="424"/>
        <v>0</v>
      </c>
      <c r="K972" s="47">
        <f>(J972/60)*VLOOKUP(C972,Employees!A:J,10,0)*1.5</f>
        <v>0</v>
      </c>
      <c r="L972" s="22">
        <f t="shared" si="425"/>
        <v>0</v>
      </c>
      <c r="M972" s="23">
        <f>(L972/60)*VLOOKUP(C972,Employees!A:J,10,0)*2</f>
        <v>0</v>
      </c>
      <c r="N972" s="24">
        <f t="shared" si="426"/>
        <v>0</v>
      </c>
      <c r="O972" s="25">
        <f>(N972/60)*VLOOKUP(C972,Employees!A:J,10,0)*1.5</f>
        <v>0</v>
      </c>
      <c r="P972" s="23">
        <f>IF(G972="غياب",VLOOKUP(C972,Employees!$A$3:$J$36,9,FALSE()),0)</f>
        <v>0</v>
      </c>
    </row>
    <row r="973" spans="1:16" ht="15" customHeight="1">
      <c r="A973" s="17" t="s">
        <v>86</v>
      </c>
      <c r="B973" s="19" t="s">
        <v>73</v>
      </c>
      <c r="C973" s="19" t="s">
        <v>53</v>
      </c>
      <c r="D973" s="19" t="str">
        <f>VLOOKUP(C973,Employees!A:J,2,0)</f>
        <v>سعد محمد</v>
      </c>
      <c r="E973" s="20">
        <v>0.41666666666666702</v>
      </c>
      <c r="F973" s="20">
        <v>0.75</v>
      </c>
      <c r="G973" s="21" t="s">
        <v>69</v>
      </c>
      <c r="H973" s="20"/>
      <c r="I973" s="20"/>
      <c r="J973" s="22">
        <f t="shared" si="424"/>
        <v>0</v>
      </c>
      <c r="K973" s="47">
        <f>(J973/60)*VLOOKUP(C973,Employees!A:J,10,0)*1.5</f>
        <v>0</v>
      </c>
      <c r="L973" s="22">
        <f t="shared" si="425"/>
        <v>0</v>
      </c>
      <c r="M973" s="23">
        <f>(L973/60)*VLOOKUP(C973,Employees!A:J,10,0)*2</f>
        <v>0</v>
      </c>
      <c r="N973" s="24">
        <f t="shared" si="426"/>
        <v>0</v>
      </c>
      <c r="O973" s="25">
        <f>(N973/60)*VLOOKUP(C973,Employees!A:J,10,0)*1.5</f>
        <v>0</v>
      </c>
      <c r="P973" s="23">
        <f>IF(G973="غياب",VLOOKUP(C973,Employees!$A$3:$J$36,9,FALSE()),0)</f>
        <v>0</v>
      </c>
    </row>
    <row r="974" spans="1:16" ht="15" customHeight="1">
      <c r="A974" s="17" t="s">
        <v>87</v>
      </c>
      <c r="B974" s="19" t="s">
        <v>75</v>
      </c>
      <c r="C974" s="19" t="s">
        <v>53</v>
      </c>
      <c r="D974" s="19" t="str">
        <f>VLOOKUP(C974,Employees!A:J,2,0)</f>
        <v>سعد محمد</v>
      </c>
      <c r="E974" s="20">
        <v>0.41666666666666702</v>
      </c>
      <c r="F974" s="20">
        <v>0.75</v>
      </c>
      <c r="G974" s="21" t="s">
        <v>69</v>
      </c>
      <c r="H974" s="20"/>
      <c r="I974" s="20"/>
      <c r="J974" s="22">
        <f t="shared" si="424"/>
        <v>0</v>
      </c>
      <c r="K974" s="47">
        <f>(J974/60)*VLOOKUP(C974,Employees!A:J,10,0)*1.5</f>
        <v>0</v>
      </c>
      <c r="L974" s="22">
        <f t="shared" si="425"/>
        <v>0</v>
      </c>
      <c r="M974" s="23">
        <f>(L974/60)*VLOOKUP(C974,Employees!A:J,10,0)*2</f>
        <v>0</v>
      </c>
      <c r="N974" s="24">
        <f t="shared" si="426"/>
        <v>0</v>
      </c>
      <c r="O974" s="25">
        <f>(N974/60)*VLOOKUP(C974,Employees!A:J,10,0)*1.5</f>
        <v>0</v>
      </c>
      <c r="P974" s="23">
        <f>IF(G974="غياب",VLOOKUP(C974,Employees!$A$3:$J$36,9,FALSE()),0)</f>
        <v>0</v>
      </c>
    </row>
    <row r="975" spans="1:16" ht="15" customHeight="1">
      <c r="A975" s="26" t="s">
        <v>88</v>
      </c>
      <c r="B975" s="28" t="s">
        <v>77</v>
      </c>
      <c r="C975" s="28" t="s">
        <v>53</v>
      </c>
      <c r="D975" s="28" t="str">
        <f>VLOOKUP(C975,Employees!A:J,2,0)</f>
        <v>سعد محمد</v>
      </c>
      <c r="E975" s="29" t="s">
        <v>78</v>
      </c>
      <c r="F975" s="29" t="s">
        <v>78</v>
      </c>
      <c r="G975" s="27" t="s">
        <v>79</v>
      </c>
      <c r="H975" s="29" t="s">
        <v>78</v>
      </c>
      <c r="I975" s="29" t="s">
        <v>78</v>
      </c>
      <c r="J975" s="22" t="s">
        <v>78</v>
      </c>
      <c r="K975" s="47" t="s">
        <v>78</v>
      </c>
      <c r="L975" s="22" t="s">
        <v>78</v>
      </c>
      <c r="M975" s="23" t="s">
        <v>78</v>
      </c>
      <c r="N975" s="24" t="s">
        <v>78</v>
      </c>
      <c r="O975" s="24" t="s">
        <v>78</v>
      </c>
      <c r="P975" s="23">
        <f>IF(G975="غياب",VLOOKUP(C975,Employees!$A$3:$J$36,9,FALSE()),0)</f>
        <v>0</v>
      </c>
    </row>
    <row r="976" spans="1:16" ht="15" customHeight="1">
      <c r="A976" s="26" t="s">
        <v>89</v>
      </c>
      <c r="B976" s="28" t="s">
        <v>81</v>
      </c>
      <c r="C976" s="28" t="s">
        <v>53</v>
      </c>
      <c r="D976" s="28" t="str">
        <f>VLOOKUP(C976,Employees!A:J,2,0)</f>
        <v>سعد محمد</v>
      </c>
      <c r="E976" s="29" t="s">
        <v>78</v>
      </c>
      <c r="F976" s="29" t="s">
        <v>78</v>
      </c>
      <c r="G976" s="27" t="s">
        <v>79</v>
      </c>
      <c r="H976" s="29" t="s">
        <v>78</v>
      </c>
      <c r="I976" s="29" t="s">
        <v>78</v>
      </c>
      <c r="J976" s="22" t="s">
        <v>78</v>
      </c>
      <c r="K976" s="47" t="s">
        <v>78</v>
      </c>
      <c r="L976" s="22" t="s">
        <v>78</v>
      </c>
      <c r="M976" s="23" t="s">
        <v>78</v>
      </c>
      <c r="N976" s="24" t="s">
        <v>78</v>
      </c>
      <c r="O976" s="24" t="s">
        <v>78</v>
      </c>
      <c r="P976" s="23">
        <f>IF(G976="غياب",VLOOKUP(C976,Employees!$A$3:$J$36,9,FALSE()),0)</f>
        <v>0</v>
      </c>
    </row>
    <row r="977" spans="1:16" ht="15" customHeight="1">
      <c r="A977" s="17" t="s">
        <v>90</v>
      </c>
      <c r="B977" s="19" t="s">
        <v>83</v>
      </c>
      <c r="C977" s="19" t="s">
        <v>53</v>
      </c>
      <c r="D977" s="19" t="str">
        <f>VLOOKUP(C977,Employees!A:J,2,0)</f>
        <v>سعد محمد</v>
      </c>
      <c r="E977" s="20">
        <v>0.41666666666666702</v>
      </c>
      <c r="F977" s="20">
        <v>0.75</v>
      </c>
      <c r="G977" s="21" t="s">
        <v>69</v>
      </c>
      <c r="H977" s="20"/>
      <c r="I977" s="20"/>
      <c r="J977" s="22">
        <f t="shared" ref="J977:J981" si="427">IF(OR(H977="",G977="غياب",G977="إجازة أسبوعية"),0,
IF(H977&gt;=E977-TIME(0,20,0),0,
IF(H977&gt;=E977-TIME(0,30,0),30,(E977-H977)*1440)))</f>
        <v>0</v>
      </c>
      <c r="K977" s="47">
        <f>(J977/60)*VLOOKUP(C977,Employees!A:J,10,0)*1.5</f>
        <v>0</v>
      </c>
      <c r="L977" s="22">
        <f t="shared" ref="L977:L981" si="428">IF(OR(H977="",G977="غياب",G977="إجازة أسبوعية"),0,
IF(H977&lt;=E977+TIME(0,30,0),0,
30+((H977-(E977+TIME(0,30,0)))*1440)))</f>
        <v>0</v>
      </c>
      <c r="M977" s="23">
        <f>(L977/60)*VLOOKUP(C977,Employees!A:J,10,0)*2</f>
        <v>0</v>
      </c>
      <c r="N977" s="24">
        <f t="shared" ref="N977:N981" si="429">IF(OR(I977="",G977="غياب",G977="إجازة أسبوعية",I977&lt;=F977),0,
IF(MOD(I977-F977,1)&lt;=TIME(0,25,0),0,MAX(0,(I977-F977)*1440)))</f>
        <v>0</v>
      </c>
      <c r="O977" s="25">
        <f>(N977/60)*VLOOKUP(C977,Employees!A:J,10,0)*1.5</f>
        <v>0</v>
      </c>
      <c r="P977" s="23">
        <f>IF(G977="غياب",VLOOKUP(C977,Employees!$A$3:$J$36,9,FALSE()),0)</f>
        <v>0</v>
      </c>
    </row>
    <row r="978" spans="1:16" ht="15" customHeight="1">
      <c r="A978" s="17" t="s">
        <v>91</v>
      </c>
      <c r="B978" s="19" t="s">
        <v>68</v>
      </c>
      <c r="C978" s="19" t="s">
        <v>53</v>
      </c>
      <c r="D978" s="19" t="str">
        <f>VLOOKUP(C978,Employees!A:J,2,0)</f>
        <v>سعد محمد</v>
      </c>
      <c r="E978" s="20">
        <v>0.41666666666666702</v>
      </c>
      <c r="F978" s="20">
        <v>0.75</v>
      </c>
      <c r="G978" s="21" t="s">
        <v>69</v>
      </c>
      <c r="H978" s="20"/>
      <c r="I978" s="20"/>
      <c r="J978" s="22">
        <f t="shared" si="427"/>
        <v>0</v>
      </c>
      <c r="K978" s="47">
        <f>(J978/60)*VLOOKUP(C978,Employees!A:J,10,0)*1.5</f>
        <v>0</v>
      </c>
      <c r="L978" s="22">
        <f t="shared" si="428"/>
        <v>0</v>
      </c>
      <c r="M978" s="23">
        <f>(L978/60)*VLOOKUP(C978,Employees!A:J,10,0)*2</f>
        <v>0</v>
      </c>
      <c r="N978" s="24">
        <f t="shared" si="429"/>
        <v>0</v>
      </c>
      <c r="O978" s="25">
        <f>(N978/60)*VLOOKUP(C978,Employees!A:J,10,0)*1.5</f>
        <v>0</v>
      </c>
      <c r="P978" s="23">
        <f>IF(G978="غياب",VLOOKUP(C978,Employees!$A$3:$J$36,9,FALSE()),0)</f>
        <v>0</v>
      </c>
    </row>
    <row r="979" spans="1:16" ht="15" customHeight="1">
      <c r="A979" s="17" t="s">
        <v>92</v>
      </c>
      <c r="B979" s="19" t="s">
        <v>71</v>
      </c>
      <c r="C979" s="19" t="s">
        <v>53</v>
      </c>
      <c r="D979" s="19" t="str">
        <f>VLOOKUP(C979,Employees!A:J,2,0)</f>
        <v>سعد محمد</v>
      </c>
      <c r="E979" s="20">
        <v>0.41666666666666702</v>
      </c>
      <c r="F979" s="20">
        <v>0.75</v>
      </c>
      <c r="G979" s="21" t="s">
        <v>69</v>
      </c>
      <c r="H979" s="20"/>
      <c r="I979" s="20"/>
      <c r="J979" s="22">
        <f t="shared" si="427"/>
        <v>0</v>
      </c>
      <c r="K979" s="47">
        <f>(J979/60)*VLOOKUP(C979,Employees!A:J,10,0)*1.5</f>
        <v>0</v>
      </c>
      <c r="L979" s="22">
        <f t="shared" si="428"/>
        <v>0</v>
      </c>
      <c r="M979" s="23">
        <f>(L979/60)*VLOOKUP(C979,Employees!A:J,10,0)*2</f>
        <v>0</v>
      </c>
      <c r="N979" s="24">
        <f t="shared" si="429"/>
        <v>0</v>
      </c>
      <c r="O979" s="25">
        <f>(N979/60)*VLOOKUP(C979,Employees!A:J,10,0)*1.5</f>
        <v>0</v>
      </c>
      <c r="P979" s="23">
        <f>IF(G979="غياب",VLOOKUP(C979,Employees!$A$3:$J$36,9,FALSE()),0)</f>
        <v>0</v>
      </c>
    </row>
    <row r="980" spans="1:16" ht="15" customHeight="1">
      <c r="A980" s="17" t="s">
        <v>93</v>
      </c>
      <c r="B980" s="19" t="s">
        <v>73</v>
      </c>
      <c r="C980" s="19" t="s">
        <v>53</v>
      </c>
      <c r="D980" s="19" t="str">
        <f>VLOOKUP(C980,Employees!A:J,2,0)</f>
        <v>سعد محمد</v>
      </c>
      <c r="E980" s="20">
        <v>0.41666666666666702</v>
      </c>
      <c r="F980" s="20">
        <v>0.75</v>
      </c>
      <c r="G980" s="21" t="s">
        <v>69</v>
      </c>
      <c r="H980" s="20"/>
      <c r="I980" s="20"/>
      <c r="J980" s="22">
        <f t="shared" si="427"/>
        <v>0</v>
      </c>
      <c r="K980" s="47">
        <f>(J980/60)*VLOOKUP(C980,Employees!A:J,10,0)*1.5</f>
        <v>0</v>
      </c>
      <c r="L980" s="22">
        <f t="shared" si="428"/>
        <v>0</v>
      </c>
      <c r="M980" s="23">
        <f>(L980/60)*VLOOKUP(C980,Employees!A:J,10,0)*2</f>
        <v>0</v>
      </c>
      <c r="N980" s="24">
        <f t="shared" si="429"/>
        <v>0</v>
      </c>
      <c r="O980" s="25">
        <f>(N980/60)*VLOOKUP(C980,Employees!A:J,10,0)*1.5</f>
        <v>0</v>
      </c>
      <c r="P980" s="23">
        <f>IF(G980="غياب",VLOOKUP(C980,Employees!$A$3:$J$36,9,FALSE()),0)</f>
        <v>0</v>
      </c>
    </row>
    <row r="981" spans="1:16" ht="15" customHeight="1">
      <c r="A981" s="17" t="s">
        <v>94</v>
      </c>
      <c r="B981" s="19" t="s">
        <v>75</v>
      </c>
      <c r="C981" s="19" t="s">
        <v>53</v>
      </c>
      <c r="D981" s="19" t="str">
        <f>VLOOKUP(C981,Employees!A:J,2,0)</f>
        <v>سعد محمد</v>
      </c>
      <c r="E981" s="20">
        <v>0.41666666666666702</v>
      </c>
      <c r="F981" s="20">
        <v>0.75</v>
      </c>
      <c r="G981" s="21" t="s">
        <v>69</v>
      </c>
      <c r="H981" s="20"/>
      <c r="I981" s="20"/>
      <c r="J981" s="22">
        <f t="shared" si="427"/>
        <v>0</v>
      </c>
      <c r="K981" s="47">
        <f>(J981/60)*VLOOKUP(C981,Employees!A:J,10,0)*1.5</f>
        <v>0</v>
      </c>
      <c r="L981" s="22">
        <f t="shared" si="428"/>
        <v>0</v>
      </c>
      <c r="M981" s="23">
        <f>(L981/60)*VLOOKUP(C981,Employees!A:J,10,0)*2</f>
        <v>0</v>
      </c>
      <c r="N981" s="24">
        <f t="shared" si="429"/>
        <v>0</v>
      </c>
      <c r="O981" s="25">
        <f>(N981/60)*VLOOKUP(C981,Employees!A:J,10,0)*1.5</f>
        <v>0</v>
      </c>
      <c r="P981" s="23">
        <f>IF(G981="غياب",VLOOKUP(C981,Employees!$A$3:$J$36,9,FALSE()),0)</f>
        <v>0</v>
      </c>
    </row>
    <row r="982" spans="1:16" ht="15" customHeight="1">
      <c r="A982" s="26" t="s">
        <v>95</v>
      </c>
      <c r="B982" s="28" t="s">
        <v>77</v>
      </c>
      <c r="C982" s="28" t="s">
        <v>53</v>
      </c>
      <c r="D982" s="28" t="str">
        <f>VLOOKUP(C982,Employees!A:J,2,0)</f>
        <v>سعد محمد</v>
      </c>
      <c r="E982" s="29" t="s">
        <v>78</v>
      </c>
      <c r="F982" s="29" t="s">
        <v>78</v>
      </c>
      <c r="G982" s="27" t="s">
        <v>79</v>
      </c>
      <c r="H982" s="29" t="s">
        <v>78</v>
      </c>
      <c r="I982" s="29" t="s">
        <v>78</v>
      </c>
      <c r="J982" s="22" t="s">
        <v>78</v>
      </c>
      <c r="K982" s="47" t="s">
        <v>78</v>
      </c>
      <c r="L982" s="22" t="s">
        <v>78</v>
      </c>
      <c r="M982" s="23" t="s">
        <v>78</v>
      </c>
      <c r="N982" s="24" t="s">
        <v>78</v>
      </c>
      <c r="O982" s="24" t="s">
        <v>78</v>
      </c>
      <c r="P982" s="23">
        <f>IF(G982="غياب",VLOOKUP(C982,Employees!$A$3:$J$36,9,FALSE()),0)</f>
        <v>0</v>
      </c>
    </row>
    <row r="983" spans="1:16" ht="15" customHeight="1">
      <c r="A983" s="17" t="s">
        <v>96</v>
      </c>
      <c r="B983" s="19" t="s">
        <v>81</v>
      </c>
      <c r="C983" s="19" t="s">
        <v>53</v>
      </c>
      <c r="D983" s="19" t="str">
        <f>VLOOKUP(C983,Employees!A:J,2,0)</f>
        <v>سعد محمد</v>
      </c>
      <c r="E983" s="20">
        <v>0.41666666666666702</v>
      </c>
      <c r="F983" s="20">
        <v>0.75</v>
      </c>
      <c r="G983" s="21" t="s">
        <v>69</v>
      </c>
      <c r="H983" s="20"/>
      <c r="I983" s="20"/>
      <c r="J983" s="22">
        <f t="shared" ref="J983:J988" si="430">IF(OR(H983="",G983="غياب",G983="إجازة أسبوعية"),0,
IF(H983&gt;=E983-TIME(0,20,0),0,
IF(H983&gt;=E983-TIME(0,30,0),30,(E983-H983)*1440)))</f>
        <v>0</v>
      </c>
      <c r="K983" s="47">
        <f>(J983/60)*VLOOKUP(C983,Employees!A:J,10,0)*1.5</f>
        <v>0</v>
      </c>
      <c r="L983" s="22">
        <f t="shared" ref="L983:L988" si="431">IF(OR(H983="",G983="غياب",G983="إجازة أسبوعية"),0,
IF(H983&lt;=E983+TIME(0,30,0),0,
30+((H983-(E983+TIME(0,30,0)))*1440)))</f>
        <v>0</v>
      </c>
      <c r="M983" s="23">
        <f>(L983/60)*VLOOKUP(C983,Employees!A:J,10,0)*2</f>
        <v>0</v>
      </c>
      <c r="N983" s="24">
        <f t="shared" ref="N983:N988" si="432">IF(OR(I983="",G983="غياب",G983="إجازة أسبوعية",I983&lt;=F983),0,
IF(MOD(I983-F983,1)&lt;=TIME(0,25,0),0,MAX(0,(I983-F983)*1440)))</f>
        <v>0</v>
      </c>
      <c r="O983" s="25">
        <f>(N983/60)*VLOOKUP(C983,Employees!A:J,10,0)*1.5</f>
        <v>0</v>
      </c>
      <c r="P983" s="23">
        <f>IF(G983="غياب",VLOOKUP(C983,Employees!$A$3:$J$36,9,FALSE()),0)</f>
        <v>0</v>
      </c>
    </row>
    <row r="984" spans="1:16" ht="15" customHeight="1">
      <c r="A984" s="17" t="s">
        <v>97</v>
      </c>
      <c r="B984" s="19" t="s">
        <v>83</v>
      </c>
      <c r="C984" s="19" t="s">
        <v>53</v>
      </c>
      <c r="D984" s="19" t="str">
        <f>VLOOKUP(C984,Employees!A:J,2,0)</f>
        <v>سعد محمد</v>
      </c>
      <c r="E984" s="20">
        <v>0.41666666666666702</v>
      </c>
      <c r="F984" s="20">
        <v>0.75</v>
      </c>
      <c r="G984" s="21" t="s">
        <v>69</v>
      </c>
      <c r="H984" s="20"/>
      <c r="I984" s="20"/>
      <c r="J984" s="22">
        <f t="shared" si="430"/>
        <v>0</v>
      </c>
      <c r="K984" s="47">
        <f>(J984/60)*VLOOKUP(C984,Employees!A:J,10,0)*1.5</f>
        <v>0</v>
      </c>
      <c r="L984" s="22">
        <f t="shared" si="431"/>
        <v>0</v>
      </c>
      <c r="M984" s="23">
        <f>(L984/60)*VLOOKUP(C984,Employees!A:J,10,0)*2</f>
        <v>0</v>
      </c>
      <c r="N984" s="24">
        <f t="shared" si="432"/>
        <v>0</v>
      </c>
      <c r="O984" s="25">
        <f>(N984/60)*VLOOKUP(C984,Employees!A:J,10,0)*1.5</f>
        <v>0</v>
      </c>
      <c r="P984" s="23">
        <f>IF(G984="غياب",VLOOKUP(C984,Employees!$A$3:$J$36,9,FALSE()),0)</f>
        <v>0</v>
      </c>
    </row>
    <row r="985" spans="1:16" ht="15" customHeight="1">
      <c r="A985" s="17" t="s">
        <v>98</v>
      </c>
      <c r="B985" s="19" t="s">
        <v>68</v>
      </c>
      <c r="C985" s="19" t="s">
        <v>53</v>
      </c>
      <c r="D985" s="19" t="str">
        <f>VLOOKUP(C985,Employees!A:J,2,0)</f>
        <v>سعد محمد</v>
      </c>
      <c r="E985" s="20">
        <v>0.41666666666666702</v>
      </c>
      <c r="F985" s="20">
        <v>0.75</v>
      </c>
      <c r="G985" s="21" t="s">
        <v>69</v>
      </c>
      <c r="H985" s="20"/>
      <c r="I985" s="20"/>
      <c r="J985" s="22">
        <f t="shared" si="430"/>
        <v>0</v>
      </c>
      <c r="K985" s="47">
        <f>(J985/60)*VLOOKUP(C985,Employees!A:J,10,0)*1.5</f>
        <v>0</v>
      </c>
      <c r="L985" s="22">
        <f t="shared" si="431"/>
        <v>0</v>
      </c>
      <c r="M985" s="23">
        <f>(L985/60)*VLOOKUP(C985,Employees!A:J,10,0)*2</f>
        <v>0</v>
      </c>
      <c r="N985" s="24">
        <f t="shared" si="432"/>
        <v>0</v>
      </c>
      <c r="O985" s="25">
        <f>(N985/60)*VLOOKUP(C985,Employees!A:J,10,0)*1.5</f>
        <v>0</v>
      </c>
      <c r="P985" s="23">
        <f>IF(G985="غياب",VLOOKUP(C985,Employees!$A$3:$J$36,9,FALSE()),0)</f>
        <v>0</v>
      </c>
    </row>
    <row r="986" spans="1:16" ht="15" customHeight="1">
      <c r="A986" s="17" t="s">
        <v>99</v>
      </c>
      <c r="B986" s="19" t="s">
        <v>71</v>
      </c>
      <c r="C986" s="19" t="s">
        <v>53</v>
      </c>
      <c r="D986" s="19" t="str">
        <f>VLOOKUP(C986,Employees!A:J,2,0)</f>
        <v>سعد محمد</v>
      </c>
      <c r="E986" s="20">
        <v>0.41666666666666702</v>
      </c>
      <c r="F986" s="20">
        <v>0.75</v>
      </c>
      <c r="G986" s="21" t="s">
        <v>69</v>
      </c>
      <c r="H986" s="20"/>
      <c r="I986" s="20"/>
      <c r="J986" s="22">
        <f t="shared" si="430"/>
        <v>0</v>
      </c>
      <c r="K986" s="47">
        <f>(J986/60)*VLOOKUP(C986,Employees!A:J,10,0)*1.5</f>
        <v>0</v>
      </c>
      <c r="L986" s="22">
        <f t="shared" si="431"/>
        <v>0</v>
      </c>
      <c r="M986" s="23">
        <f>(L986/60)*VLOOKUP(C986,Employees!A:J,10,0)*2</f>
        <v>0</v>
      </c>
      <c r="N986" s="24">
        <f t="shared" si="432"/>
        <v>0</v>
      </c>
      <c r="O986" s="25">
        <f>(N986/60)*VLOOKUP(C986,Employees!A:J,10,0)*1.5</f>
        <v>0</v>
      </c>
      <c r="P986" s="23">
        <f>IF(G986="غياب",VLOOKUP(C986,Employees!$A$3:$J$36,9,FALSE()),0)</f>
        <v>0</v>
      </c>
    </row>
    <row r="987" spans="1:16" ht="15" customHeight="1">
      <c r="A987" s="17" t="s">
        <v>100</v>
      </c>
      <c r="B987" s="19" t="s">
        <v>73</v>
      </c>
      <c r="C987" s="19" t="s">
        <v>53</v>
      </c>
      <c r="D987" s="19" t="str">
        <f>VLOOKUP(C987,Employees!A:J,2,0)</f>
        <v>سعد محمد</v>
      </c>
      <c r="E987" s="20">
        <v>0.41666666666666702</v>
      </c>
      <c r="F987" s="20">
        <v>0.75</v>
      </c>
      <c r="G987" s="21" t="s">
        <v>69</v>
      </c>
      <c r="H987" s="20"/>
      <c r="I987" s="20"/>
      <c r="J987" s="22">
        <f t="shared" si="430"/>
        <v>0</v>
      </c>
      <c r="K987" s="47">
        <f>(J987/60)*VLOOKUP(C987,Employees!A:J,10,0)*1.5</f>
        <v>0</v>
      </c>
      <c r="L987" s="22">
        <f t="shared" si="431"/>
        <v>0</v>
      </c>
      <c r="M987" s="23">
        <f>(L987/60)*VLOOKUP(C987,Employees!A:J,10,0)*2</f>
        <v>0</v>
      </c>
      <c r="N987" s="24">
        <f t="shared" si="432"/>
        <v>0</v>
      </c>
      <c r="O987" s="25">
        <f>(N987/60)*VLOOKUP(C987,Employees!A:J,10,0)*1.5</f>
        <v>0</v>
      </c>
      <c r="P987" s="23">
        <f>IF(G987="غياب",VLOOKUP(C987,Employees!$A$3:$J$36,9,FALSE()),0)</f>
        <v>0</v>
      </c>
    </row>
    <row r="988" spans="1:16" ht="15" customHeight="1">
      <c r="A988" s="17" t="s">
        <v>101</v>
      </c>
      <c r="B988" s="19" t="s">
        <v>75</v>
      </c>
      <c r="C988" s="19" t="s">
        <v>53</v>
      </c>
      <c r="D988" s="19" t="str">
        <f>VLOOKUP(C988,Employees!A:J,2,0)</f>
        <v>سعد محمد</v>
      </c>
      <c r="E988" s="20">
        <v>0.41666666666666702</v>
      </c>
      <c r="F988" s="20">
        <v>0.75</v>
      </c>
      <c r="G988" s="21" t="s">
        <v>69</v>
      </c>
      <c r="H988" s="20"/>
      <c r="I988" s="20"/>
      <c r="J988" s="22">
        <f t="shared" si="430"/>
        <v>0</v>
      </c>
      <c r="K988" s="47">
        <f>(J988/60)*VLOOKUP(C988,Employees!A:J,10,0)*1.5</f>
        <v>0</v>
      </c>
      <c r="L988" s="22">
        <f t="shared" si="431"/>
        <v>0</v>
      </c>
      <c r="M988" s="23">
        <f>(L988/60)*VLOOKUP(C988,Employees!A:J,10,0)*2</f>
        <v>0</v>
      </c>
      <c r="N988" s="24">
        <f t="shared" si="432"/>
        <v>0</v>
      </c>
      <c r="O988" s="25">
        <f>(N988/60)*VLOOKUP(C988,Employees!A:J,10,0)*1.5</f>
        <v>0</v>
      </c>
      <c r="P988" s="23">
        <f>IF(G988="غياب",VLOOKUP(C988,Employees!$A$3:$J$36,9,FALSE()),0)</f>
        <v>0</v>
      </c>
    </row>
    <row r="989" spans="1:16" ht="15" customHeight="1">
      <c r="A989" s="26" t="s">
        <v>102</v>
      </c>
      <c r="B989" s="28" t="s">
        <v>77</v>
      </c>
      <c r="C989" s="28" t="s">
        <v>53</v>
      </c>
      <c r="D989" s="28" t="str">
        <f>VLOOKUP(C989,Employees!A:J,2,0)</f>
        <v>سعد محمد</v>
      </c>
      <c r="E989" s="29" t="s">
        <v>78</v>
      </c>
      <c r="F989" s="29" t="s">
        <v>78</v>
      </c>
      <c r="G989" s="27" t="s">
        <v>79</v>
      </c>
      <c r="H989" s="29" t="s">
        <v>78</v>
      </c>
      <c r="I989" s="29" t="s">
        <v>78</v>
      </c>
      <c r="J989" s="22" t="s">
        <v>78</v>
      </c>
      <c r="K989" s="47" t="s">
        <v>78</v>
      </c>
      <c r="L989" s="22" t="s">
        <v>78</v>
      </c>
      <c r="M989" s="23" t="s">
        <v>78</v>
      </c>
      <c r="N989" s="24" t="s">
        <v>78</v>
      </c>
      <c r="O989" s="24" t="s">
        <v>78</v>
      </c>
      <c r="P989" s="23">
        <f>IF(G989="غياب",VLOOKUP(C989,Employees!$A$3:$J$36,9,FALSE()),0)</f>
        <v>0</v>
      </c>
    </row>
    <row r="990" spans="1:16" ht="15" customHeight="1">
      <c r="A990" s="17" t="s">
        <v>103</v>
      </c>
      <c r="B990" s="19" t="s">
        <v>81</v>
      </c>
      <c r="C990" s="19" t="s">
        <v>53</v>
      </c>
      <c r="D990" s="19" t="str">
        <f>VLOOKUP(C990,Employees!A:J,2,0)</f>
        <v>سعد محمد</v>
      </c>
      <c r="E990" s="20">
        <v>0.41666666666666702</v>
      </c>
      <c r="F990" s="20">
        <v>0.75</v>
      </c>
      <c r="G990" s="21" t="s">
        <v>69</v>
      </c>
      <c r="H990" s="20"/>
      <c r="I990" s="20"/>
      <c r="J990" s="22">
        <f t="shared" ref="J990:J993" si="433">IF(OR(H990="",G990="غياب",G990="إجازة أسبوعية"),0,
IF(H990&gt;=E990-TIME(0,20,0),0,
IF(H990&gt;=E990-TIME(0,30,0),30,(E990-H990)*1440)))</f>
        <v>0</v>
      </c>
      <c r="K990" s="47">
        <f>(J990/60)*VLOOKUP(C990,Employees!A:J,10,0)*1.5</f>
        <v>0</v>
      </c>
      <c r="L990" s="22">
        <f t="shared" ref="L990:L993" si="434">IF(OR(H990="",G990="غياب",G990="إجازة أسبوعية"),0,
IF(H990&lt;=E990+TIME(0,30,0),0,
30+((H990-(E990+TIME(0,30,0)))*1440)))</f>
        <v>0</v>
      </c>
      <c r="M990" s="23">
        <f>(L990/60)*VLOOKUP(C990,Employees!A:J,10,0)*2</f>
        <v>0</v>
      </c>
      <c r="N990" s="24">
        <f t="shared" ref="N990:N993" si="435">IF(OR(I990="",G990="غياب",G990="إجازة أسبوعية",I990&lt;=F990),0,
IF(MOD(I990-F990,1)&lt;=TIME(0,25,0),0,MAX(0,(I990-F990)*1440)))</f>
        <v>0</v>
      </c>
      <c r="O990" s="25">
        <f>(N990/60)*VLOOKUP(C990,Employees!A:J,10,0)*1.5</f>
        <v>0</v>
      </c>
      <c r="P990" s="23">
        <f>IF(G990="غياب",VLOOKUP(C990,Employees!$A$3:$J$36,9,FALSE()),0)</f>
        <v>0</v>
      </c>
    </row>
    <row r="991" spans="1:16" ht="15" customHeight="1">
      <c r="A991" s="17" t="s">
        <v>104</v>
      </c>
      <c r="B991" s="19" t="s">
        <v>83</v>
      </c>
      <c r="C991" s="19" t="s">
        <v>53</v>
      </c>
      <c r="D991" s="19" t="str">
        <f>VLOOKUP(C991,Employees!A:J,2,0)</f>
        <v>سعد محمد</v>
      </c>
      <c r="E991" s="20">
        <v>0.41666666666666702</v>
      </c>
      <c r="F991" s="20">
        <v>0.75</v>
      </c>
      <c r="G991" s="21" t="s">
        <v>69</v>
      </c>
      <c r="H991" s="20"/>
      <c r="I991" s="20"/>
      <c r="J991" s="22">
        <f t="shared" si="433"/>
        <v>0</v>
      </c>
      <c r="K991" s="47">
        <f>(J991/60)*VLOOKUP(C991,Employees!A:J,10,0)*1.5</f>
        <v>0</v>
      </c>
      <c r="L991" s="22">
        <f t="shared" si="434"/>
        <v>0</v>
      </c>
      <c r="M991" s="23">
        <f>(L991/60)*VLOOKUP(C991,Employees!A:J,10,0)*2</f>
        <v>0</v>
      </c>
      <c r="N991" s="24">
        <f t="shared" si="435"/>
        <v>0</v>
      </c>
      <c r="O991" s="25">
        <f>(N991/60)*VLOOKUP(C991,Employees!A:J,10,0)*1.5</f>
        <v>0</v>
      </c>
      <c r="P991" s="23">
        <f>IF(G991="غياب",VLOOKUP(C991,Employees!$A$3:$J$36,9,FALSE()),0)</f>
        <v>0</v>
      </c>
    </row>
    <row r="992" spans="1:16" ht="15" customHeight="1">
      <c r="A992" s="17" t="s">
        <v>105</v>
      </c>
      <c r="B992" s="19" t="s">
        <v>68</v>
      </c>
      <c r="C992" s="19" t="s">
        <v>53</v>
      </c>
      <c r="D992" s="19" t="str">
        <f>VLOOKUP(C992,Employees!A:J,2,0)</f>
        <v>سعد محمد</v>
      </c>
      <c r="E992" s="20">
        <v>0.41666666666666702</v>
      </c>
      <c r="F992" s="20">
        <v>0.75</v>
      </c>
      <c r="G992" s="21" t="s">
        <v>69</v>
      </c>
      <c r="H992" s="20"/>
      <c r="I992" s="20"/>
      <c r="J992" s="22">
        <f t="shared" si="433"/>
        <v>0</v>
      </c>
      <c r="K992" s="47">
        <f>(J992/60)*VLOOKUP(C992,Employees!A:J,10,0)*1.5</f>
        <v>0</v>
      </c>
      <c r="L992" s="22">
        <f t="shared" si="434"/>
        <v>0</v>
      </c>
      <c r="M992" s="23">
        <f>(L992/60)*VLOOKUP(C992,Employees!A:J,10,0)*2</f>
        <v>0</v>
      </c>
      <c r="N992" s="24">
        <f t="shared" si="435"/>
        <v>0</v>
      </c>
      <c r="O992" s="25">
        <f>(N992/60)*VLOOKUP(C992,Employees!A:J,10,0)*1.5</f>
        <v>0</v>
      </c>
      <c r="P992" s="23">
        <f>IF(G992="غياب",VLOOKUP(C992,Employees!$A$3:$J$36,9,FALSE()),0)</f>
        <v>0</v>
      </c>
    </row>
    <row r="993" spans="1:16" ht="15" customHeight="1">
      <c r="A993" s="17" t="s">
        <v>106</v>
      </c>
      <c r="B993" s="19" t="s">
        <v>71</v>
      </c>
      <c r="C993" s="19" t="s">
        <v>53</v>
      </c>
      <c r="D993" s="19" t="str">
        <f>VLOOKUP(C993,Employees!A:J,2,0)</f>
        <v>سعد محمد</v>
      </c>
      <c r="E993" s="20">
        <v>0.41666666666666702</v>
      </c>
      <c r="F993" s="20">
        <v>0.75</v>
      </c>
      <c r="G993" s="21" t="s">
        <v>69</v>
      </c>
      <c r="H993" s="20"/>
      <c r="I993" s="20"/>
      <c r="J993" s="22">
        <f t="shared" si="433"/>
        <v>0</v>
      </c>
      <c r="K993" s="47">
        <f>(J993/60)*VLOOKUP(C993,Employees!A:J,10,0)*1.5</f>
        <v>0</v>
      </c>
      <c r="L993" s="22">
        <f t="shared" si="434"/>
        <v>0</v>
      </c>
      <c r="M993" s="23">
        <f>(L993/60)*VLOOKUP(C993,Employees!A:J,10,0)*2</f>
        <v>0</v>
      </c>
      <c r="N993" s="24">
        <f t="shared" si="435"/>
        <v>0</v>
      </c>
      <c r="O993" s="25">
        <f>(N993/60)*VLOOKUP(C993,Employees!A:J,10,0)*1.5</f>
        <v>0</v>
      </c>
      <c r="P993" s="23">
        <f>IF(G993="غياب",VLOOKUP(C993,Employees!$A$3:$J$36,9,FALSE()),0)</f>
        <v>0</v>
      </c>
    </row>
  </sheetData>
  <autoFilter ref="A2:P993" xr:uid="{00000000-0001-0000-0100-000000000000}"/>
  <mergeCells count="2">
    <mergeCell ref="A3:P3"/>
    <mergeCell ref="A1:P1"/>
  </mergeCells>
  <dataValidations count="1">
    <dataValidation type="list" allowBlank="1" showInputMessage="1" showErrorMessage="1" sqref="G4:G993" xr:uid="{717801E0-E944-4A16-A300-34DE8E944183}">
      <formula1>"حضور,غياب,اجازة اسبوعية"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"/>
  <sheetViews>
    <sheetView rightToLeft="1" topLeftCell="A16" zoomScaleNormal="100" workbookViewId="0">
      <selection activeCell="B3" sqref="B3:C35"/>
    </sheetView>
  </sheetViews>
  <sheetFormatPr defaultColWidth="8.7109375" defaultRowHeight="15"/>
  <cols>
    <col min="1" max="1" width="13" customWidth="1"/>
    <col min="2" max="2" width="22" style="11" customWidth="1"/>
    <col min="3" max="3" width="18" style="11" customWidth="1"/>
    <col min="4" max="8" width="14" customWidth="1"/>
    <col min="9" max="9" width="16" customWidth="1"/>
    <col min="10" max="10" width="25.5703125" customWidth="1"/>
  </cols>
  <sheetData>
    <row r="1" spans="1:10" ht="34.5" customHeight="1">
      <c r="A1" s="55" t="s">
        <v>107</v>
      </c>
      <c r="B1" s="55"/>
      <c r="C1" s="55"/>
      <c r="D1" s="55"/>
      <c r="E1" s="55"/>
      <c r="F1" s="55"/>
      <c r="G1" s="55"/>
      <c r="H1" s="55"/>
      <c r="I1" s="55"/>
    </row>
    <row r="2" spans="1:10" ht="30" customHeight="1">
      <c r="A2" s="1" t="s">
        <v>2</v>
      </c>
      <c r="B2" s="1" t="s">
        <v>3</v>
      </c>
      <c r="C2" s="1" t="s">
        <v>4</v>
      </c>
      <c r="D2" s="46" t="s">
        <v>133</v>
      </c>
      <c r="E2" s="46" t="s">
        <v>134</v>
      </c>
      <c r="F2" s="46" t="s">
        <v>135</v>
      </c>
      <c r="G2" s="46" t="s">
        <v>136</v>
      </c>
      <c r="H2" s="46" t="s">
        <v>137</v>
      </c>
      <c r="I2" s="1" t="s">
        <v>109</v>
      </c>
      <c r="J2" s="45" t="s">
        <v>131</v>
      </c>
    </row>
    <row r="3" spans="1:10" ht="19.5" customHeight="1">
      <c r="A3" s="3" t="s">
        <v>12</v>
      </c>
      <c r="B3" s="3" t="s">
        <v>143</v>
      </c>
      <c r="C3" s="3" t="s">
        <v>171</v>
      </c>
      <c r="D3" s="31">
        <v>0</v>
      </c>
      <c r="E3" s="31">
        <v>2000</v>
      </c>
      <c r="F3" s="31">
        <v>2500</v>
      </c>
      <c r="G3" s="31">
        <v>2500</v>
      </c>
      <c r="H3" s="31">
        <f>G3+F3+E3+D3</f>
        <v>7000</v>
      </c>
      <c r="I3" s="31">
        <v>0</v>
      </c>
      <c r="J3" s="31"/>
    </row>
    <row r="4" spans="1:10" ht="19.5" customHeight="1">
      <c r="A4" s="7" t="s">
        <v>13</v>
      </c>
      <c r="B4" s="7" t="s">
        <v>144</v>
      </c>
      <c r="C4" s="7" t="s">
        <v>171</v>
      </c>
      <c r="D4" s="32">
        <v>700</v>
      </c>
      <c r="E4" s="32">
        <v>5700</v>
      </c>
      <c r="F4" s="32">
        <v>800</v>
      </c>
      <c r="G4" s="32">
        <v>500</v>
      </c>
      <c r="H4" s="32">
        <f t="shared" ref="H4:H35" si="0">G4+F4+E4+D4</f>
        <v>7700</v>
      </c>
      <c r="I4" s="32">
        <v>0</v>
      </c>
      <c r="J4" s="32"/>
    </row>
    <row r="5" spans="1:10" ht="19.5" customHeight="1">
      <c r="A5" s="3" t="s">
        <v>15</v>
      </c>
      <c r="B5" s="3" t="s">
        <v>145</v>
      </c>
      <c r="C5" s="3" t="s">
        <v>14</v>
      </c>
      <c r="D5" s="31">
        <v>0</v>
      </c>
      <c r="E5" s="31">
        <v>4000</v>
      </c>
      <c r="F5" s="31">
        <v>0</v>
      </c>
      <c r="G5" s="31">
        <v>0</v>
      </c>
      <c r="H5" s="31">
        <f t="shared" si="0"/>
        <v>4000</v>
      </c>
      <c r="I5" s="31">
        <v>0</v>
      </c>
      <c r="J5" s="31"/>
    </row>
    <row r="6" spans="1:10" ht="19.5" customHeight="1">
      <c r="A6" s="7" t="s">
        <v>16</v>
      </c>
      <c r="B6" s="7" t="s">
        <v>146</v>
      </c>
      <c r="C6" s="7" t="s">
        <v>14</v>
      </c>
      <c r="D6" s="32">
        <v>1300</v>
      </c>
      <c r="E6" s="32">
        <v>1300</v>
      </c>
      <c r="F6" s="32">
        <v>1300</v>
      </c>
      <c r="G6" s="32">
        <v>1300</v>
      </c>
      <c r="H6" s="32">
        <f t="shared" si="0"/>
        <v>5200</v>
      </c>
      <c r="I6" s="32">
        <v>0</v>
      </c>
      <c r="J6" s="32"/>
    </row>
    <row r="7" spans="1:10" ht="19.5" customHeight="1">
      <c r="A7" s="3" t="s">
        <v>17</v>
      </c>
      <c r="B7" s="3" t="s">
        <v>147</v>
      </c>
      <c r="C7" s="3" t="s">
        <v>14</v>
      </c>
      <c r="D7" s="31">
        <v>1200</v>
      </c>
      <c r="E7" s="31">
        <v>1500</v>
      </c>
      <c r="F7" s="31">
        <v>1500</v>
      </c>
      <c r="G7" s="31">
        <v>1300</v>
      </c>
      <c r="H7" s="31">
        <f t="shared" si="0"/>
        <v>5500</v>
      </c>
      <c r="I7" s="31">
        <v>0</v>
      </c>
      <c r="J7" s="31"/>
    </row>
    <row r="8" spans="1:10" ht="19.5" customHeight="1">
      <c r="A8" s="7" t="s">
        <v>18</v>
      </c>
      <c r="B8" s="7" t="s">
        <v>148</v>
      </c>
      <c r="C8" s="7" t="s">
        <v>14</v>
      </c>
      <c r="D8" s="32">
        <v>1300</v>
      </c>
      <c r="E8" s="32">
        <v>1300</v>
      </c>
      <c r="F8" s="32">
        <v>1300</v>
      </c>
      <c r="G8" s="32">
        <v>1300</v>
      </c>
      <c r="H8" s="32">
        <f t="shared" si="0"/>
        <v>5200</v>
      </c>
      <c r="I8" s="32">
        <v>0</v>
      </c>
      <c r="J8" s="32"/>
    </row>
    <row r="9" spans="1:10" ht="19.5" customHeight="1">
      <c r="A9" s="3" t="s">
        <v>19</v>
      </c>
      <c r="B9" s="3" t="s">
        <v>149</v>
      </c>
      <c r="C9" s="3" t="s">
        <v>14</v>
      </c>
      <c r="D9" s="31">
        <v>1300</v>
      </c>
      <c r="E9" s="31">
        <v>1300</v>
      </c>
      <c r="F9" s="31">
        <v>1600</v>
      </c>
      <c r="G9" s="31">
        <v>1300</v>
      </c>
      <c r="H9" s="31">
        <f t="shared" si="0"/>
        <v>5500</v>
      </c>
      <c r="I9" s="31">
        <v>0</v>
      </c>
      <c r="J9" s="31"/>
    </row>
    <row r="10" spans="1:10" ht="19.5" customHeight="1">
      <c r="A10" s="7" t="s">
        <v>20</v>
      </c>
      <c r="B10" s="7" t="s">
        <v>150</v>
      </c>
      <c r="C10" s="7" t="s">
        <v>14</v>
      </c>
      <c r="D10" s="32">
        <v>800</v>
      </c>
      <c r="E10" s="32">
        <v>2500</v>
      </c>
      <c r="F10" s="32">
        <v>700</v>
      </c>
      <c r="G10" s="32">
        <v>1000</v>
      </c>
      <c r="H10" s="32">
        <f t="shared" si="0"/>
        <v>5000</v>
      </c>
      <c r="I10" s="32">
        <v>0</v>
      </c>
      <c r="J10" s="32"/>
    </row>
    <row r="11" spans="1:10" ht="19.5" customHeight="1">
      <c r="A11" s="3" t="s">
        <v>21</v>
      </c>
      <c r="B11" s="3" t="s">
        <v>151</v>
      </c>
      <c r="C11" s="3" t="s">
        <v>14</v>
      </c>
      <c r="D11" s="31">
        <v>1100</v>
      </c>
      <c r="E11" s="31">
        <v>1100</v>
      </c>
      <c r="F11" s="31">
        <v>1100</v>
      </c>
      <c r="G11" s="31">
        <v>1500</v>
      </c>
      <c r="H11" s="31">
        <f t="shared" si="0"/>
        <v>4800</v>
      </c>
      <c r="I11" s="31">
        <v>0</v>
      </c>
      <c r="J11" s="31"/>
    </row>
    <row r="12" spans="1:10" ht="19.5" customHeight="1">
      <c r="A12" s="7" t="s">
        <v>22</v>
      </c>
      <c r="B12" s="7" t="s">
        <v>152</v>
      </c>
      <c r="C12" s="7" t="s">
        <v>14</v>
      </c>
      <c r="D12" s="32">
        <v>1000</v>
      </c>
      <c r="E12" s="32">
        <v>0</v>
      </c>
      <c r="F12" s="32">
        <v>0</v>
      </c>
      <c r="G12" s="32">
        <v>0</v>
      </c>
      <c r="H12" s="32">
        <f t="shared" si="0"/>
        <v>1000</v>
      </c>
      <c r="I12" s="32">
        <v>0</v>
      </c>
      <c r="J12" s="32"/>
    </row>
    <row r="13" spans="1:10" ht="19.5" customHeight="1">
      <c r="A13" s="3" t="s">
        <v>23</v>
      </c>
      <c r="B13" s="3" t="s">
        <v>153</v>
      </c>
      <c r="C13" s="3" t="s">
        <v>14</v>
      </c>
      <c r="D13" s="31">
        <v>500</v>
      </c>
      <c r="E13" s="31">
        <v>5000</v>
      </c>
      <c r="F13" s="31">
        <v>1000</v>
      </c>
      <c r="G13" s="31">
        <v>1000</v>
      </c>
      <c r="H13" s="31">
        <f t="shared" si="0"/>
        <v>7500</v>
      </c>
      <c r="I13" s="31">
        <v>0</v>
      </c>
      <c r="J13" s="31"/>
    </row>
    <row r="14" spans="1:10" ht="19.5" customHeight="1">
      <c r="A14" s="7" t="s">
        <v>24</v>
      </c>
      <c r="B14" s="7" t="s">
        <v>154</v>
      </c>
      <c r="C14" s="7" t="s">
        <v>14</v>
      </c>
      <c r="D14" s="32">
        <v>0</v>
      </c>
      <c r="E14" s="32">
        <v>0</v>
      </c>
      <c r="F14" s="32">
        <v>0</v>
      </c>
      <c r="G14" s="32">
        <v>0</v>
      </c>
      <c r="H14" s="32">
        <f t="shared" si="0"/>
        <v>0</v>
      </c>
      <c r="I14" s="32">
        <v>0</v>
      </c>
      <c r="J14" s="32"/>
    </row>
    <row r="15" spans="1:10" ht="19.5" customHeight="1">
      <c r="A15" s="3" t="s">
        <v>27</v>
      </c>
      <c r="B15" s="3" t="s">
        <v>155</v>
      </c>
      <c r="C15" s="3" t="s">
        <v>14</v>
      </c>
      <c r="D15" s="31">
        <v>1200</v>
      </c>
      <c r="E15" s="31">
        <v>0</v>
      </c>
      <c r="F15" s="31">
        <v>0</v>
      </c>
      <c r="G15" s="31">
        <v>0</v>
      </c>
      <c r="H15" s="31">
        <f t="shared" si="0"/>
        <v>1200</v>
      </c>
      <c r="I15" s="31">
        <v>0</v>
      </c>
      <c r="J15" s="31"/>
    </row>
    <row r="16" spans="1:10" ht="19.5" customHeight="1">
      <c r="A16" s="7" t="s">
        <v>29</v>
      </c>
      <c r="B16" s="7" t="s">
        <v>30</v>
      </c>
      <c r="C16" s="7" t="s">
        <v>31</v>
      </c>
      <c r="D16" s="32">
        <v>0</v>
      </c>
      <c r="E16" s="32">
        <v>0</v>
      </c>
      <c r="F16" s="32">
        <v>0</v>
      </c>
      <c r="G16" s="32">
        <v>0</v>
      </c>
      <c r="H16" s="32">
        <f t="shared" si="0"/>
        <v>0</v>
      </c>
      <c r="I16" s="32">
        <v>0</v>
      </c>
      <c r="J16" s="32"/>
    </row>
    <row r="17" spans="1:10" ht="19.5" customHeight="1">
      <c r="A17" s="3" t="s">
        <v>32</v>
      </c>
      <c r="B17" s="3" t="s">
        <v>28</v>
      </c>
      <c r="C17" s="3" t="s">
        <v>31</v>
      </c>
      <c r="D17" s="31">
        <v>0</v>
      </c>
      <c r="E17" s="31">
        <v>0</v>
      </c>
      <c r="F17" s="31">
        <v>0</v>
      </c>
      <c r="G17" s="31">
        <v>0</v>
      </c>
      <c r="H17" s="31">
        <f t="shared" si="0"/>
        <v>0</v>
      </c>
      <c r="I17" s="31">
        <v>0</v>
      </c>
      <c r="J17" s="31"/>
    </row>
    <row r="18" spans="1:10" ht="19.5" customHeight="1">
      <c r="A18" s="7" t="s">
        <v>34</v>
      </c>
      <c r="B18" s="7" t="s">
        <v>33</v>
      </c>
      <c r="C18" s="7" t="s">
        <v>31</v>
      </c>
      <c r="D18" s="32">
        <v>0</v>
      </c>
      <c r="E18" s="32">
        <v>0</v>
      </c>
      <c r="F18" s="32">
        <v>0</v>
      </c>
      <c r="G18" s="32">
        <v>0</v>
      </c>
      <c r="H18" s="32">
        <f t="shared" si="0"/>
        <v>0</v>
      </c>
      <c r="I18" s="32">
        <v>0</v>
      </c>
      <c r="J18" s="32"/>
    </row>
    <row r="19" spans="1:10" ht="19.5" customHeight="1">
      <c r="A19" s="3" t="s">
        <v>36</v>
      </c>
      <c r="B19" s="3" t="s">
        <v>156</v>
      </c>
      <c r="C19" s="3" t="s">
        <v>31</v>
      </c>
      <c r="D19" s="31">
        <v>1400</v>
      </c>
      <c r="E19" s="31">
        <v>1600</v>
      </c>
      <c r="F19" s="31">
        <v>1400</v>
      </c>
      <c r="G19" s="31">
        <v>1600</v>
      </c>
      <c r="H19" s="31">
        <f t="shared" si="0"/>
        <v>6000</v>
      </c>
      <c r="I19" s="31">
        <v>0</v>
      </c>
      <c r="J19" s="31"/>
    </row>
    <row r="20" spans="1:10" ht="19.5" customHeight="1">
      <c r="A20" s="7" t="s">
        <v>38</v>
      </c>
      <c r="B20" s="7" t="s">
        <v>35</v>
      </c>
      <c r="C20" s="7" t="s">
        <v>31</v>
      </c>
      <c r="D20" s="32">
        <v>1400</v>
      </c>
      <c r="E20" s="32">
        <v>2000</v>
      </c>
      <c r="F20" s="32">
        <v>2000</v>
      </c>
      <c r="G20" s="32">
        <v>2000</v>
      </c>
      <c r="H20" s="32">
        <f t="shared" si="0"/>
        <v>7400</v>
      </c>
      <c r="I20" s="32">
        <v>0</v>
      </c>
      <c r="J20" s="32"/>
    </row>
    <row r="21" spans="1:10" ht="19.5" customHeight="1">
      <c r="A21" s="3" t="s">
        <v>39</v>
      </c>
      <c r="B21" s="3" t="s">
        <v>37</v>
      </c>
      <c r="C21" s="3" t="s">
        <v>31</v>
      </c>
      <c r="D21" s="31">
        <v>1300</v>
      </c>
      <c r="E21" s="31">
        <v>1300</v>
      </c>
      <c r="F21" s="31">
        <v>1300</v>
      </c>
      <c r="G21" s="31">
        <v>1300</v>
      </c>
      <c r="H21" s="31">
        <f t="shared" si="0"/>
        <v>5200</v>
      </c>
      <c r="I21" s="31">
        <v>0</v>
      </c>
      <c r="J21" s="31"/>
    </row>
    <row r="22" spans="1:10" ht="19.5" customHeight="1">
      <c r="A22" s="7" t="s">
        <v>40</v>
      </c>
      <c r="B22" s="7" t="s">
        <v>157</v>
      </c>
      <c r="C22" s="7" t="s">
        <v>31</v>
      </c>
      <c r="D22" s="32">
        <v>1300</v>
      </c>
      <c r="E22" s="32">
        <v>1300</v>
      </c>
      <c r="F22" s="32">
        <v>1300</v>
      </c>
      <c r="G22" s="32">
        <v>1300</v>
      </c>
      <c r="H22" s="32">
        <f t="shared" si="0"/>
        <v>5200</v>
      </c>
      <c r="I22" s="32">
        <v>0</v>
      </c>
      <c r="J22" s="32"/>
    </row>
    <row r="23" spans="1:10" ht="19.5" customHeight="1">
      <c r="A23" s="3" t="s">
        <v>41</v>
      </c>
      <c r="B23" s="3" t="s">
        <v>158</v>
      </c>
      <c r="C23" s="3" t="s">
        <v>31</v>
      </c>
      <c r="D23" s="31">
        <v>1300</v>
      </c>
      <c r="E23" s="31">
        <v>1300</v>
      </c>
      <c r="F23" s="31">
        <v>1300</v>
      </c>
      <c r="G23" s="31">
        <v>1300</v>
      </c>
      <c r="H23" s="31">
        <f t="shared" si="0"/>
        <v>5200</v>
      </c>
      <c r="I23" s="31">
        <v>0</v>
      </c>
      <c r="J23" s="31"/>
    </row>
    <row r="24" spans="1:10" ht="19.5" customHeight="1">
      <c r="A24" s="7" t="s">
        <v>42</v>
      </c>
      <c r="B24" s="7" t="s">
        <v>159</v>
      </c>
      <c r="C24" s="7" t="s">
        <v>172</v>
      </c>
      <c r="D24" s="32">
        <v>1300</v>
      </c>
      <c r="E24" s="32">
        <v>1300</v>
      </c>
      <c r="F24" s="32">
        <v>1300</v>
      </c>
      <c r="G24" s="32">
        <v>0</v>
      </c>
      <c r="H24" s="32">
        <f t="shared" si="0"/>
        <v>3900</v>
      </c>
      <c r="I24" s="32">
        <v>0</v>
      </c>
      <c r="J24" s="32"/>
    </row>
    <row r="25" spans="1:10" ht="19.5" customHeight="1">
      <c r="A25" s="3" t="s">
        <v>43</v>
      </c>
      <c r="B25" s="3" t="s">
        <v>160</v>
      </c>
      <c r="C25" s="3" t="s">
        <v>172</v>
      </c>
      <c r="D25" s="31"/>
      <c r="E25" s="31">
        <v>1300</v>
      </c>
      <c r="F25" s="31"/>
      <c r="G25" s="31">
        <v>850</v>
      </c>
      <c r="H25" s="31">
        <f t="shared" si="0"/>
        <v>2150</v>
      </c>
      <c r="I25" s="31">
        <v>4000</v>
      </c>
      <c r="J25" s="31" t="s">
        <v>132</v>
      </c>
    </row>
    <row r="26" spans="1:10" ht="19.5" customHeight="1">
      <c r="A26" s="7" t="s">
        <v>44</v>
      </c>
      <c r="B26" s="7" t="s">
        <v>161</v>
      </c>
      <c r="C26" s="7" t="s">
        <v>173</v>
      </c>
      <c r="D26" s="32">
        <v>1200</v>
      </c>
      <c r="E26" s="32">
        <v>1200</v>
      </c>
      <c r="F26" s="32">
        <v>1200</v>
      </c>
      <c r="G26" s="32">
        <v>1200</v>
      </c>
      <c r="H26" s="32">
        <f t="shared" si="0"/>
        <v>4800</v>
      </c>
      <c r="I26" s="32">
        <v>1400</v>
      </c>
      <c r="J26" s="32" t="s">
        <v>142</v>
      </c>
    </row>
    <row r="27" spans="1:10" ht="19.5" customHeight="1">
      <c r="A27" s="3" t="s">
        <v>45</v>
      </c>
      <c r="B27" s="3" t="s">
        <v>162</v>
      </c>
      <c r="C27" s="3" t="s">
        <v>173</v>
      </c>
      <c r="D27" s="31">
        <v>0</v>
      </c>
      <c r="E27" s="31">
        <v>0</v>
      </c>
      <c r="F27" s="31">
        <v>0</v>
      </c>
      <c r="G27" s="31">
        <v>0</v>
      </c>
      <c r="H27" s="31">
        <f t="shared" si="0"/>
        <v>0</v>
      </c>
      <c r="I27" s="31">
        <v>0</v>
      </c>
      <c r="J27" s="31"/>
    </row>
    <row r="28" spans="1:10" ht="19.5" customHeight="1">
      <c r="A28" s="7" t="s">
        <v>46</v>
      </c>
      <c r="B28" s="7" t="s">
        <v>163</v>
      </c>
      <c r="C28" s="7" t="s">
        <v>173</v>
      </c>
      <c r="D28" s="32"/>
      <c r="E28" s="32">
        <v>1200</v>
      </c>
      <c r="F28" s="32">
        <v>1200</v>
      </c>
      <c r="G28" s="32">
        <v>0</v>
      </c>
      <c r="H28" s="32">
        <f t="shared" si="0"/>
        <v>2400</v>
      </c>
      <c r="I28" s="32">
        <v>0</v>
      </c>
      <c r="J28" s="32"/>
    </row>
    <row r="29" spans="1:10" ht="19.5" customHeight="1">
      <c r="A29" s="3" t="s">
        <v>47</v>
      </c>
      <c r="B29" s="3" t="s">
        <v>164</v>
      </c>
      <c r="C29" s="3" t="s">
        <v>173</v>
      </c>
      <c r="D29" s="31">
        <v>1500</v>
      </c>
      <c r="E29" s="31">
        <v>500</v>
      </c>
      <c r="F29" s="31">
        <v>500</v>
      </c>
      <c r="G29" s="31"/>
      <c r="H29" s="31">
        <f t="shared" si="0"/>
        <v>2500</v>
      </c>
      <c r="I29" s="31">
        <v>0</v>
      </c>
      <c r="J29" s="31"/>
    </row>
    <row r="30" spans="1:10" ht="19.5" customHeight="1">
      <c r="A30" s="7" t="s">
        <v>48</v>
      </c>
      <c r="B30" s="7" t="s">
        <v>165</v>
      </c>
      <c r="C30" s="7" t="s">
        <v>173</v>
      </c>
      <c r="D30" s="32">
        <v>0</v>
      </c>
      <c r="E30" s="32">
        <v>0</v>
      </c>
      <c r="F30" s="32">
        <v>0</v>
      </c>
      <c r="G30" s="32">
        <v>0</v>
      </c>
      <c r="H30" s="32">
        <f t="shared" si="0"/>
        <v>0</v>
      </c>
      <c r="I30" s="32">
        <v>0</v>
      </c>
      <c r="J30" s="32"/>
    </row>
    <row r="31" spans="1:10" ht="19.5" customHeight="1">
      <c r="A31" s="3" t="s">
        <v>49</v>
      </c>
      <c r="B31" s="3" t="s">
        <v>166</v>
      </c>
      <c r="C31" s="3" t="s">
        <v>173</v>
      </c>
      <c r="D31" s="31">
        <v>950</v>
      </c>
      <c r="E31" s="31">
        <v>950</v>
      </c>
      <c r="F31" s="31">
        <v>950</v>
      </c>
      <c r="G31" s="31">
        <v>950</v>
      </c>
      <c r="H31" s="31">
        <f t="shared" si="0"/>
        <v>3800</v>
      </c>
      <c r="I31" s="31">
        <v>0</v>
      </c>
      <c r="J31" s="31"/>
    </row>
    <row r="32" spans="1:10" ht="19.5" customHeight="1">
      <c r="A32" s="7" t="s">
        <v>50</v>
      </c>
      <c r="B32" s="7" t="s">
        <v>167</v>
      </c>
      <c r="C32" s="7" t="s">
        <v>173</v>
      </c>
      <c r="D32" s="32">
        <v>0</v>
      </c>
      <c r="E32" s="32">
        <v>0</v>
      </c>
      <c r="F32" s="32">
        <v>0</v>
      </c>
      <c r="G32" s="32">
        <v>0</v>
      </c>
      <c r="H32" s="32">
        <f t="shared" si="0"/>
        <v>0</v>
      </c>
      <c r="I32" s="32">
        <v>0</v>
      </c>
      <c r="J32" s="32"/>
    </row>
    <row r="33" spans="1:10" ht="19.5" customHeight="1">
      <c r="A33" s="3" t="s">
        <v>51</v>
      </c>
      <c r="B33" s="3" t="s">
        <v>168</v>
      </c>
      <c r="C33" s="3" t="s">
        <v>172</v>
      </c>
      <c r="D33" s="31"/>
      <c r="E33" s="31">
        <v>0</v>
      </c>
      <c r="F33" s="31">
        <v>1300</v>
      </c>
      <c r="G33" s="31">
        <v>1300</v>
      </c>
      <c r="H33" s="31">
        <f t="shared" si="0"/>
        <v>2600</v>
      </c>
      <c r="I33" s="31">
        <v>0</v>
      </c>
      <c r="J33" s="31"/>
    </row>
    <row r="34" spans="1:10" ht="19.5" customHeight="1">
      <c r="A34" s="7" t="s">
        <v>52</v>
      </c>
      <c r="B34" s="7" t="s">
        <v>169</v>
      </c>
      <c r="C34" s="7" t="s">
        <v>172</v>
      </c>
      <c r="D34" s="32">
        <v>1000</v>
      </c>
      <c r="E34" s="32">
        <v>0</v>
      </c>
      <c r="F34" s="32">
        <v>0</v>
      </c>
      <c r="G34" s="32">
        <v>0</v>
      </c>
      <c r="H34" s="32">
        <f t="shared" si="0"/>
        <v>1000</v>
      </c>
      <c r="I34" s="32">
        <v>0</v>
      </c>
      <c r="J34" s="32"/>
    </row>
    <row r="35" spans="1:10" ht="19.5" customHeight="1">
      <c r="A35" s="3" t="s">
        <v>53</v>
      </c>
      <c r="B35" s="3" t="s">
        <v>170</v>
      </c>
      <c r="C35" s="3" t="s">
        <v>172</v>
      </c>
      <c r="D35" s="31">
        <v>0</v>
      </c>
      <c r="E35" s="31">
        <v>0</v>
      </c>
      <c r="F35" s="31">
        <v>0</v>
      </c>
      <c r="G35" s="31">
        <v>0</v>
      </c>
      <c r="H35" s="31">
        <f t="shared" si="0"/>
        <v>0</v>
      </c>
      <c r="I35" s="31">
        <v>0</v>
      </c>
      <c r="J35" s="31"/>
    </row>
    <row r="36" spans="1:10" ht="15" customHeight="1">
      <c r="A36" s="59" t="s">
        <v>110</v>
      </c>
      <c r="B36" s="59"/>
      <c r="C36" s="59"/>
      <c r="D36" s="33">
        <f t="shared" ref="D36:I36" si="1">SUM(D3:D35)</f>
        <v>23050</v>
      </c>
      <c r="E36" s="33">
        <f t="shared" si="1"/>
        <v>39650</v>
      </c>
      <c r="F36" s="33">
        <f t="shared" si="1"/>
        <v>25550</v>
      </c>
      <c r="G36" s="33">
        <f t="shared" si="1"/>
        <v>23500</v>
      </c>
      <c r="H36" s="33">
        <f t="shared" si="1"/>
        <v>111750</v>
      </c>
      <c r="I36" s="33">
        <f t="shared" si="1"/>
        <v>5400</v>
      </c>
      <c r="J36" s="32"/>
    </row>
  </sheetData>
  <autoFilter ref="A2:J36" xr:uid="{00000000-0001-0000-0200-000000000000}"/>
  <mergeCells count="2">
    <mergeCell ref="A1:I1"/>
    <mergeCell ref="A36:C3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"/>
  <sheetViews>
    <sheetView rightToLeft="1" topLeftCell="A13" zoomScaleNormal="100" workbookViewId="0">
      <selection activeCell="D5" sqref="D5"/>
    </sheetView>
  </sheetViews>
  <sheetFormatPr defaultColWidth="8.7109375" defaultRowHeight="15"/>
  <cols>
    <col min="1" max="1" width="13" customWidth="1"/>
    <col min="2" max="2" width="22" customWidth="1"/>
    <col min="3" max="3" width="18" customWidth="1"/>
    <col min="4" max="4" width="15" customWidth="1"/>
    <col min="5" max="6" width="14" customWidth="1"/>
    <col min="7" max="8" width="17" customWidth="1"/>
    <col min="9" max="9" width="12" customWidth="1"/>
    <col min="10" max="10" width="17" customWidth="1"/>
    <col min="11" max="11" width="16" customWidth="1"/>
  </cols>
  <sheetData>
    <row r="1" spans="1:11" ht="34.5" customHeight="1">
      <c r="A1" s="68" t="s">
        <v>111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30" customHeight="1">
      <c r="A2" s="1" t="s">
        <v>2</v>
      </c>
      <c r="B2" s="1" t="s">
        <v>3</v>
      </c>
      <c r="C2" s="1" t="s">
        <v>4</v>
      </c>
      <c r="D2" s="1" t="s">
        <v>112</v>
      </c>
      <c r="E2" s="1" t="s">
        <v>66</v>
      </c>
      <c r="F2" s="1" t="s">
        <v>63</v>
      </c>
      <c r="G2" s="1" t="s">
        <v>113</v>
      </c>
      <c r="H2" s="1" t="s">
        <v>141</v>
      </c>
      <c r="I2" s="1" t="s">
        <v>108</v>
      </c>
      <c r="J2" s="1" t="s">
        <v>114</v>
      </c>
      <c r="K2" s="1" t="s">
        <v>115</v>
      </c>
    </row>
    <row r="3" spans="1:11" ht="21.75" customHeight="1">
      <c r="A3" s="3" t="s">
        <v>12</v>
      </c>
      <c r="B3" s="3" t="s">
        <v>143</v>
      </c>
      <c r="C3" s="3" t="s">
        <v>171</v>
      </c>
      <c r="D3" s="34">
        <f>VLOOKUP(A3,Employees!A:J,4,0)</f>
        <v>10000</v>
      </c>
      <c r="E3" s="35">
        <f>SUMIF(Attendance!$C$4:$C$993,A3,Attendance!$P$4:$P$993)</f>
        <v>0</v>
      </c>
      <c r="F3" s="35">
        <f>SUMIF(Attendance!$C$4:$C$993,A3,Attendance!$M$4:$M$993)</f>
        <v>0</v>
      </c>
      <c r="G3" s="10">
        <f>SUMIF(Attendance!$C$4:$C$993,A3,Attendance!$O$4:$O$993)</f>
        <v>0</v>
      </c>
      <c r="H3" s="10">
        <f>SUMIF(Attendance!$C$4:$C$993,'Payroll Summary'!A3,Attendance!$K$4:$K$993)</f>
        <v>0</v>
      </c>
      <c r="I3" s="36">
        <f>'Advances &amp; Deductions'!H3</f>
        <v>7000</v>
      </c>
      <c r="J3" s="36">
        <f>'Advances &amp; Deductions'!I3</f>
        <v>0</v>
      </c>
      <c r="K3" s="37">
        <f>D3-E3-F3-I3-J3+G3+H3</f>
        <v>3000</v>
      </c>
    </row>
    <row r="4" spans="1:11" ht="21.75" customHeight="1">
      <c r="A4" s="7" t="s">
        <v>13</v>
      </c>
      <c r="B4" s="7" t="s">
        <v>144</v>
      </c>
      <c r="C4" s="7" t="s">
        <v>171</v>
      </c>
      <c r="D4" s="34">
        <f>VLOOKUP(A4,Employees!A:J,4,0)</f>
        <v>9000</v>
      </c>
      <c r="E4" s="35">
        <f>SUMIF(Attendance!$C$4:$C$993,A4,Attendance!$P$4:$P$993)</f>
        <v>0</v>
      </c>
      <c r="F4" s="35">
        <f>SUMIF(Attendance!$C$4:$C$993,A4,Attendance!$M$4:$M$993)</f>
        <v>0</v>
      </c>
      <c r="G4" s="10">
        <f>SUMIF(Attendance!$C$4:$C$993,A4,Attendance!$O$4:$O$993)</f>
        <v>0</v>
      </c>
      <c r="H4" s="10">
        <f>SUMIF(Attendance!$C$4:$C$993,'Payroll Summary'!A4,Attendance!$K$4:$K$993)</f>
        <v>0</v>
      </c>
      <c r="I4" s="38">
        <f>'Advances &amp; Deductions'!H4</f>
        <v>7700</v>
      </c>
      <c r="J4" s="38">
        <f>'Advances &amp; Deductions'!I4</f>
        <v>0</v>
      </c>
      <c r="K4" s="37">
        <f t="shared" ref="K4:K35" si="0">D4-E4-F4-I4-J4+G4+H4</f>
        <v>1300</v>
      </c>
    </row>
    <row r="5" spans="1:11" ht="21.75" customHeight="1">
      <c r="A5" s="3" t="s">
        <v>15</v>
      </c>
      <c r="B5" s="3" t="s">
        <v>145</v>
      </c>
      <c r="C5" s="3" t="s">
        <v>14</v>
      </c>
      <c r="D5" s="34">
        <f>VLOOKUP(A5,Employees!A:J,4,0)</f>
        <v>7000</v>
      </c>
      <c r="E5" s="35">
        <f>SUMIF(Attendance!$C$4:$C$993,A5,Attendance!$P$4:$P$993)</f>
        <v>1037.037037037037</v>
      </c>
      <c r="F5" s="35">
        <f>SUMIF(Attendance!$C$4:$C$993,A5,Attendance!$M$4:$M$993)</f>
        <v>208.36762688614539</v>
      </c>
      <c r="G5" s="10">
        <f>SUMIF(Attendance!$C$4:$C$993,A5,Attendance!$O$4:$O$993)</f>
        <v>67.695473251028787</v>
      </c>
      <c r="H5" s="10">
        <f>SUMIF(Attendance!$C$4:$C$993,'Payroll Summary'!A5,Attendance!$K$4:$K$993)</f>
        <v>0</v>
      </c>
      <c r="I5" s="36">
        <f>'Advances &amp; Deductions'!H5</f>
        <v>4000</v>
      </c>
      <c r="J5" s="36">
        <f>'Advances &amp; Deductions'!I5</f>
        <v>0</v>
      </c>
      <c r="K5" s="37">
        <f t="shared" si="0"/>
        <v>1822.2908093278468</v>
      </c>
    </row>
    <row r="6" spans="1:11" ht="21.75" customHeight="1">
      <c r="A6" s="7" t="s">
        <v>16</v>
      </c>
      <c r="B6" s="7" t="s">
        <v>146</v>
      </c>
      <c r="C6" s="7" t="s">
        <v>14</v>
      </c>
      <c r="D6" s="34">
        <f>VLOOKUP(A6,Employees!A:J,4,0)</f>
        <v>7000</v>
      </c>
      <c r="E6" s="35">
        <f>SUMIF(Attendance!$C$4:$C$993,A6,Attendance!$P$4:$P$993)</f>
        <v>0</v>
      </c>
      <c r="F6" s="35">
        <f>SUMIF(Attendance!$C$4:$C$993,A6,Attendance!$M$4:$M$993)</f>
        <v>75.617283950617406</v>
      </c>
      <c r="G6" s="10">
        <f>SUMIF(Attendance!$C$4:$C$993,A6,Attendance!$O$4:$O$993)</f>
        <v>104.78395061728399</v>
      </c>
      <c r="H6" s="10">
        <f>SUMIF(Attendance!$C$4:$C$993,'Payroll Summary'!A6,Attendance!$K$4:$K$993)</f>
        <v>0</v>
      </c>
      <c r="I6" s="38">
        <f>'Advances &amp; Deductions'!H6</f>
        <v>5200</v>
      </c>
      <c r="J6" s="38">
        <f>'Advances &amp; Deductions'!I6</f>
        <v>0</v>
      </c>
      <c r="K6" s="37">
        <f t="shared" si="0"/>
        <v>1829.166666666667</v>
      </c>
    </row>
    <row r="7" spans="1:11" ht="21.75" customHeight="1">
      <c r="A7" s="3" t="s">
        <v>17</v>
      </c>
      <c r="B7" s="3" t="s">
        <v>147</v>
      </c>
      <c r="C7" s="3" t="s">
        <v>14</v>
      </c>
      <c r="D7" s="34">
        <f>VLOOKUP(A7,Employees!A:J,4,0)</f>
        <v>7000</v>
      </c>
      <c r="E7" s="35">
        <f>SUMIF(Attendance!$C$4:$C$993,A7,Attendance!$P$4:$P$993)</f>
        <v>259.25925925925924</v>
      </c>
      <c r="F7" s="35">
        <f>SUMIF(Attendance!$C$4:$C$993,A7,Attendance!$M$4:$M$993)</f>
        <v>390.32921810699497</v>
      </c>
      <c r="G7" s="10">
        <f>SUMIF(Attendance!$C$4:$C$993,A7,Attendance!$O$4:$O$993)</f>
        <v>53.472222222222285</v>
      </c>
      <c r="H7" s="10">
        <f>SUMIF(Attendance!$C$4:$C$993,'Payroll Summary'!A7,Attendance!$K$4:$K$993)</f>
        <v>0</v>
      </c>
      <c r="I7" s="36">
        <f>'Advances &amp; Deductions'!H7</f>
        <v>5500</v>
      </c>
      <c r="J7" s="36">
        <f>'Advances &amp; Deductions'!I7</f>
        <v>0</v>
      </c>
      <c r="K7" s="37">
        <f t="shared" si="0"/>
        <v>903.88374485596853</v>
      </c>
    </row>
    <row r="8" spans="1:11" ht="21.75" customHeight="1">
      <c r="A8" s="7" t="s">
        <v>18</v>
      </c>
      <c r="B8" s="7" t="s">
        <v>148</v>
      </c>
      <c r="C8" s="7" t="s">
        <v>14</v>
      </c>
      <c r="D8" s="34">
        <f>VLOOKUP(A8,Employees!A:J,4,0)</f>
        <v>7000</v>
      </c>
      <c r="E8" s="35">
        <f>SUMIF(Attendance!$C$4:$C$993,A8,Attendance!$P$4:$P$993)</f>
        <v>777.77777777777771</v>
      </c>
      <c r="F8" s="35">
        <f>SUMIF(Attendance!$C$4:$C$993,A8,Attendance!$M$4:$M$993)</f>
        <v>1814.0946502057591</v>
      </c>
      <c r="G8" s="10">
        <f>SUMIF(Attendance!$C$4:$C$993,A8,Attendance!$O$4:$O$993)</f>
        <v>242.51543209876542</v>
      </c>
      <c r="H8" s="10">
        <f>SUMIF(Attendance!$C$4:$C$993,'Payroll Summary'!A8,Attendance!$K$4:$K$993)</f>
        <v>0</v>
      </c>
      <c r="I8" s="38">
        <f>'Advances &amp; Deductions'!H8</f>
        <v>5200</v>
      </c>
      <c r="J8" s="38">
        <f>'Advances &amp; Deductions'!I8</f>
        <v>0</v>
      </c>
      <c r="K8" s="37">
        <f t="shared" si="0"/>
        <v>-549.35699588477155</v>
      </c>
    </row>
    <row r="9" spans="1:11" ht="21.75" customHeight="1">
      <c r="A9" s="3" t="s">
        <v>19</v>
      </c>
      <c r="B9" s="3" t="s">
        <v>149</v>
      </c>
      <c r="C9" s="3" t="s">
        <v>14</v>
      </c>
      <c r="D9" s="34">
        <f>VLOOKUP(A9,Employees!A:J,4,0)</f>
        <v>7000</v>
      </c>
      <c r="E9" s="35">
        <f>SUMIF(Attendance!$C$4:$C$993,A9,Attendance!$P$4:$P$993)</f>
        <v>1037.037037037037</v>
      </c>
      <c r="F9" s="35">
        <f>SUMIF(Attendance!$C$4:$C$993,A9,Attendance!$M$4:$M$993)</f>
        <v>2008.5390946502027</v>
      </c>
      <c r="G9" s="10">
        <f>SUMIF(Attendance!$C$4:$C$993,A9,Attendance!$O$4:$O$993)</f>
        <v>126.38888888888886</v>
      </c>
      <c r="H9" s="10">
        <f>SUMIF(Attendance!$C$4:$C$993,'Payroll Summary'!A9,Attendance!$K$4:$K$993)</f>
        <v>0</v>
      </c>
      <c r="I9" s="36">
        <f>'Advances &amp; Deductions'!H9</f>
        <v>5500</v>
      </c>
      <c r="J9" s="36">
        <f>'Advances &amp; Deductions'!I9</f>
        <v>0</v>
      </c>
      <c r="K9" s="37">
        <f t="shared" si="0"/>
        <v>-1419.1872427983506</v>
      </c>
    </row>
    <row r="10" spans="1:11" ht="21.75" customHeight="1">
      <c r="A10" s="7" t="s">
        <v>20</v>
      </c>
      <c r="B10" s="7" t="s">
        <v>150</v>
      </c>
      <c r="C10" s="7" t="s">
        <v>14</v>
      </c>
      <c r="D10" s="34">
        <f>VLOOKUP(A10,Employees!A:J,4,0)</f>
        <v>7000</v>
      </c>
      <c r="E10" s="35">
        <f>SUMIF(Attendance!$C$4:$C$993,A10,Attendance!$P$4:$P$993)</f>
        <v>0</v>
      </c>
      <c r="F10" s="35">
        <f>SUMIF(Attendance!$C$4:$C$993,A10,Attendance!$M$4:$M$993)</f>
        <v>0</v>
      </c>
      <c r="G10" s="10">
        <f>SUMIF(Attendance!$C$4:$C$993,A10,Attendance!$O$4:$O$993)</f>
        <v>64.814814814814895</v>
      </c>
      <c r="H10" s="10">
        <f>SUMIF(Attendance!$C$4:$C$993,'Payroll Summary'!A10,Attendance!$K$4:$K$993)</f>
        <v>0</v>
      </c>
      <c r="I10" s="38">
        <f>'Advances &amp; Deductions'!H10</f>
        <v>5000</v>
      </c>
      <c r="J10" s="38">
        <f>'Advances &amp; Deductions'!I10</f>
        <v>0</v>
      </c>
      <c r="K10" s="37">
        <f t="shared" si="0"/>
        <v>2064.8148148148148</v>
      </c>
    </row>
    <row r="11" spans="1:11" ht="21.75" customHeight="1">
      <c r="A11" s="3" t="s">
        <v>21</v>
      </c>
      <c r="B11" s="3" t="s">
        <v>151</v>
      </c>
      <c r="C11" s="3" t="s">
        <v>14</v>
      </c>
      <c r="D11" s="34">
        <f>VLOOKUP(A11,Employees!A:J,4,0)</f>
        <v>7000</v>
      </c>
      <c r="E11" s="35">
        <f>SUMIF(Attendance!$C$4:$C$993,A11,Attendance!$P$4:$P$993)</f>
        <v>0</v>
      </c>
      <c r="F11" s="35">
        <f>SUMIF(Attendance!$C$4:$C$993,A11,Attendance!$M$4:$M$993)</f>
        <v>93.621399176954853</v>
      </c>
      <c r="G11" s="10">
        <f>SUMIF(Attendance!$C$4:$C$993,A11,Attendance!$O$4:$O$993)</f>
        <v>156.63580246913585</v>
      </c>
      <c r="H11" s="10">
        <f>SUMIF(Attendance!$C$4:$C$993,'Payroll Summary'!A11,Attendance!$K$4:$K$993)</f>
        <v>0</v>
      </c>
      <c r="I11" s="36">
        <f>'Advances &amp; Deductions'!H11</f>
        <v>4800</v>
      </c>
      <c r="J11" s="36">
        <f>'Advances &amp; Deductions'!I11</f>
        <v>0</v>
      </c>
      <c r="K11" s="37">
        <f t="shared" si="0"/>
        <v>2263.0144032921812</v>
      </c>
    </row>
    <row r="12" spans="1:11" ht="21.75" customHeight="1">
      <c r="A12" s="7" t="s">
        <v>22</v>
      </c>
      <c r="B12" s="7" t="s">
        <v>152</v>
      </c>
      <c r="C12" s="7" t="s">
        <v>14</v>
      </c>
      <c r="D12" s="34">
        <f>VLOOKUP(A12,Employees!A:J,4,0)</f>
        <v>7000</v>
      </c>
      <c r="E12" s="35">
        <f>SUMIF(Attendance!$C$4:$C$993,A12,Attendance!$P$4:$P$993)</f>
        <v>259.25925925925924</v>
      </c>
      <c r="F12" s="35">
        <f>SUMIF(Attendance!$C$4:$C$993,A12,Attendance!$M$4:$M$993)</f>
        <v>0</v>
      </c>
      <c r="G12" s="10">
        <f>SUMIF(Attendance!$C$4:$C$993,A12,Attendance!$O$4:$O$993)</f>
        <v>114.81481481481484</v>
      </c>
      <c r="H12" s="10">
        <f>SUMIF(Attendance!$C$4:$C$993,'Payroll Summary'!A12,Attendance!$K$4:$K$993)</f>
        <v>27.777777777777771</v>
      </c>
      <c r="I12" s="38">
        <f>'Advances &amp; Deductions'!H12</f>
        <v>1000</v>
      </c>
      <c r="J12" s="38">
        <f>'Advances &amp; Deductions'!I12</f>
        <v>0</v>
      </c>
      <c r="K12" s="37">
        <f t="shared" si="0"/>
        <v>5883.333333333333</v>
      </c>
    </row>
    <row r="13" spans="1:11" ht="21.75" customHeight="1">
      <c r="A13" s="3" t="s">
        <v>23</v>
      </c>
      <c r="B13" s="3" t="s">
        <v>153</v>
      </c>
      <c r="C13" s="3" t="s">
        <v>14</v>
      </c>
      <c r="D13" s="34">
        <f>VLOOKUP(A13,Employees!A:J,4,0)</f>
        <v>7000</v>
      </c>
      <c r="E13" s="35">
        <f>SUMIF(Attendance!$C$4:$C$993,A13,Attendance!$P$4:$P$993)</f>
        <v>0</v>
      </c>
      <c r="F13" s="35">
        <f>SUMIF(Attendance!$C$4:$C$993,A13,Attendance!$M$4:$M$993)</f>
        <v>0</v>
      </c>
      <c r="G13" s="10">
        <f>SUMIF(Attendance!$C$4:$C$993,A13,Attendance!$O$4:$O$993)</f>
        <v>974.9228395061707</v>
      </c>
      <c r="H13" s="10">
        <f>SUMIF(Attendance!$C$4:$C$993,'Payroll Summary'!A13,Attendance!$K$4:$K$993)</f>
        <v>0</v>
      </c>
      <c r="I13" s="36">
        <f>'Advances &amp; Deductions'!H13</f>
        <v>7500</v>
      </c>
      <c r="J13" s="36">
        <f>'Advances &amp; Deductions'!I13</f>
        <v>0</v>
      </c>
      <c r="K13" s="37">
        <f t="shared" si="0"/>
        <v>474.9228395061707</v>
      </c>
    </row>
    <row r="14" spans="1:11" ht="21.75" customHeight="1">
      <c r="A14" s="7" t="s">
        <v>24</v>
      </c>
      <c r="B14" s="7" t="s">
        <v>154</v>
      </c>
      <c r="C14" s="7" t="s">
        <v>14</v>
      </c>
      <c r="D14" s="34">
        <f>VLOOKUP(A14,Employees!A:J,4,0)</f>
        <v>7000</v>
      </c>
      <c r="E14" s="35">
        <f>SUMIF(Attendance!$C$4:$C$993,A14,Attendance!$P$4:$P$993)</f>
        <v>0</v>
      </c>
      <c r="F14" s="35">
        <f>SUMIF(Attendance!$C$4:$C$993,A14,Attendance!$M$4:$M$993)</f>
        <v>0</v>
      </c>
      <c r="G14" s="10">
        <f>SUMIF(Attendance!$C$4:$C$993,A14,Attendance!$O$4:$O$993)</f>
        <v>0</v>
      </c>
      <c r="H14" s="10">
        <f>SUMIF(Attendance!$C$4:$C$993,'Payroll Summary'!A14,Attendance!$K$4:$K$993)</f>
        <v>0</v>
      </c>
      <c r="I14" s="38">
        <f>'Advances &amp; Deductions'!H14</f>
        <v>0</v>
      </c>
      <c r="J14" s="38">
        <f>'Advances &amp; Deductions'!I14</f>
        <v>0</v>
      </c>
      <c r="K14" s="37">
        <f t="shared" si="0"/>
        <v>7000</v>
      </c>
    </row>
    <row r="15" spans="1:11" ht="21.75" customHeight="1">
      <c r="A15" s="3" t="s">
        <v>27</v>
      </c>
      <c r="B15" s="3" t="s">
        <v>155</v>
      </c>
      <c r="C15" s="3" t="s">
        <v>14</v>
      </c>
      <c r="D15" s="34">
        <f>VLOOKUP(A15,Employees!A:J,4,0)</f>
        <v>7000</v>
      </c>
      <c r="E15" s="35">
        <f>SUMIF(Attendance!$C$4:$C$993,A15,Attendance!$P$4:$P$993)</f>
        <v>2592.5925925925917</v>
      </c>
      <c r="F15" s="35">
        <f>SUMIF(Attendance!$C$4:$C$993,A15,Attendance!$M$4:$M$993)</f>
        <v>1008.5185185185214</v>
      </c>
      <c r="G15" s="10">
        <f>SUMIF(Attendance!$C$4:$C$993,A15,Attendance!$O$4:$O$993)</f>
        <v>158.79629629629625</v>
      </c>
      <c r="H15" s="10">
        <f>SUMIF(Attendance!$C$4:$C$993,'Payroll Summary'!A15,Attendance!$K$4:$K$993)</f>
        <v>0</v>
      </c>
      <c r="I15" s="36">
        <f>'Advances &amp; Deductions'!H15</f>
        <v>1200</v>
      </c>
      <c r="J15" s="36">
        <f>'Advances &amp; Deductions'!I15</f>
        <v>0</v>
      </c>
      <c r="K15" s="37">
        <f t="shared" si="0"/>
        <v>2357.6851851851834</v>
      </c>
    </row>
    <row r="16" spans="1:11" ht="21.75" customHeight="1">
      <c r="A16" s="7" t="s">
        <v>29</v>
      </c>
      <c r="B16" s="7" t="s">
        <v>30</v>
      </c>
      <c r="C16" s="7" t="s">
        <v>31</v>
      </c>
      <c r="D16" s="34">
        <f>VLOOKUP(A16,Employees!A:J,4,0)</f>
        <v>11000</v>
      </c>
      <c r="E16" s="35">
        <f>SUMIF(Attendance!$C$4:$C$993,A16,Attendance!$P$4:$P$993)</f>
        <v>814.81481481481478</v>
      </c>
      <c r="F16" s="35">
        <f>SUMIF(Attendance!$C$4:$C$993,A16,Attendance!$M$4:$M$993)</f>
        <v>1109.5061728395094</v>
      </c>
      <c r="G16" s="10">
        <f>SUMIF(Attendance!$C$4:$C$993,A16,Attendance!$O$4:$O$993)</f>
        <v>1266.0185185185178</v>
      </c>
      <c r="H16" s="10">
        <f>SUMIF(Attendance!$C$4:$C$993,'Payroll Summary'!A16,Attendance!$K$4:$K$993)</f>
        <v>329.99999999999955</v>
      </c>
      <c r="I16" s="38">
        <f>'Advances &amp; Deductions'!H16</f>
        <v>0</v>
      </c>
      <c r="J16" s="38">
        <f>'Advances &amp; Deductions'!I16</f>
        <v>0</v>
      </c>
      <c r="K16" s="37">
        <f t="shared" si="0"/>
        <v>10671.697530864196</v>
      </c>
    </row>
    <row r="17" spans="1:11" ht="21.75" customHeight="1">
      <c r="A17" s="3" t="s">
        <v>32</v>
      </c>
      <c r="B17" s="3" t="s">
        <v>28</v>
      </c>
      <c r="C17" s="3" t="s">
        <v>31</v>
      </c>
      <c r="D17" s="34">
        <f>VLOOKUP(A17,Employees!A:J,4,0)</f>
        <v>11000</v>
      </c>
      <c r="E17" s="35">
        <f>SUMIF(Attendance!$C$4:$C$993,A17,Attendance!$P$4:$P$993)</f>
        <v>1222.2222222222222</v>
      </c>
      <c r="F17" s="35">
        <f>SUMIF(Attendance!$C$4:$C$993,A17,Attendance!$M$4:$M$993)</f>
        <v>1226.2962962963004</v>
      </c>
      <c r="G17" s="10">
        <f>SUMIF(Attendance!$C$4:$C$993,A17,Attendance!$O$4:$O$993)</f>
        <v>1569.5370370370365</v>
      </c>
      <c r="H17" s="10">
        <f>SUMIF(Attendance!$C$4:$C$993,'Payroll Summary'!A17,Attendance!$K$4:$K$993)</f>
        <v>51.944444444444414</v>
      </c>
      <c r="I17" s="36">
        <f>'Advances &amp; Deductions'!H17</f>
        <v>0</v>
      </c>
      <c r="J17" s="36">
        <f>'Advances &amp; Deductions'!I17</f>
        <v>0</v>
      </c>
      <c r="K17" s="37">
        <f t="shared" si="0"/>
        <v>10172.962962962958</v>
      </c>
    </row>
    <row r="18" spans="1:11" ht="21.75" customHeight="1">
      <c r="A18" s="7" t="s">
        <v>34</v>
      </c>
      <c r="B18" s="7" t="s">
        <v>33</v>
      </c>
      <c r="C18" s="7" t="s">
        <v>31</v>
      </c>
      <c r="D18" s="34">
        <f>VLOOKUP(A18,Employees!A:J,4,0)</f>
        <v>9000</v>
      </c>
      <c r="E18" s="35">
        <f>SUMIF(Attendance!$C$4:$C$993,A18,Attendance!$P$4:$P$993)</f>
        <v>4000.0000000000005</v>
      </c>
      <c r="F18" s="35">
        <f>SUMIF(Attendance!$C$4:$C$993,A18,Attendance!$M$4:$M$993)</f>
        <v>0</v>
      </c>
      <c r="G18" s="10">
        <f>SUMIF(Attendance!$C$4:$C$993,A18,Attendance!$O$4:$O$993)</f>
        <v>0</v>
      </c>
      <c r="H18" s="10">
        <f>SUMIF(Attendance!$C$4:$C$993,'Payroll Summary'!A18,Attendance!$K$4:$K$993)</f>
        <v>0</v>
      </c>
      <c r="I18" s="38">
        <f>'Advances &amp; Deductions'!H18</f>
        <v>0</v>
      </c>
      <c r="J18" s="38">
        <f>'Advances &amp; Deductions'!I18</f>
        <v>0</v>
      </c>
      <c r="K18" s="37">
        <f t="shared" si="0"/>
        <v>5000</v>
      </c>
    </row>
    <row r="19" spans="1:11" ht="21.75" customHeight="1">
      <c r="A19" s="3" t="s">
        <v>36</v>
      </c>
      <c r="B19" s="3" t="s">
        <v>156</v>
      </c>
      <c r="C19" s="3" t="s">
        <v>31</v>
      </c>
      <c r="D19" s="34">
        <f>VLOOKUP(A19,Employees!A:J,4,0)</f>
        <v>9000</v>
      </c>
      <c r="E19" s="35">
        <f>SUMIF(Attendance!$C$4:$C$993,A19,Attendance!$P$4:$P$993)</f>
        <v>0</v>
      </c>
      <c r="F19" s="35">
        <f>SUMIF(Attendance!$C$4:$C$993,A19,Attendance!$M$4:$M$993)</f>
        <v>0</v>
      </c>
      <c r="G19" s="10">
        <f>SUMIF(Attendance!$C$4:$C$993,A19,Attendance!$O$4:$O$993)</f>
        <v>350.46296296296197</v>
      </c>
      <c r="H19" s="10">
        <f>SUMIF(Attendance!$C$4:$C$993,'Payroll Summary'!A19,Attendance!$K$4:$K$993)</f>
        <v>0</v>
      </c>
      <c r="I19" s="36">
        <f>'Advances &amp; Deductions'!H19</f>
        <v>6000</v>
      </c>
      <c r="J19" s="36">
        <f>'Advances &amp; Deductions'!I19</f>
        <v>0</v>
      </c>
      <c r="K19" s="37">
        <f t="shared" si="0"/>
        <v>3350.4629629629621</v>
      </c>
    </row>
    <row r="20" spans="1:11" ht="21.75" customHeight="1">
      <c r="A20" s="7" t="s">
        <v>38</v>
      </c>
      <c r="B20" s="7" t="s">
        <v>35</v>
      </c>
      <c r="C20" s="7" t="s">
        <v>31</v>
      </c>
      <c r="D20" s="34">
        <f>VLOOKUP(A20,Employees!A:J,4,0)</f>
        <v>9000</v>
      </c>
      <c r="E20" s="35">
        <f>SUMIF(Attendance!$C$4:$C$993,A20,Attendance!$P$4:$P$993)</f>
        <v>0</v>
      </c>
      <c r="F20" s="35">
        <f>SUMIF(Attendance!$C$4:$C$993,A20,Attendance!$M$4:$M$993)</f>
        <v>0</v>
      </c>
      <c r="G20" s="10">
        <f>SUMIF(Attendance!$C$4:$C$993,A20,Attendance!$O$4:$O$993)</f>
        <v>375.92592592592496</v>
      </c>
      <c r="H20" s="10">
        <f>SUMIF(Attendance!$C$4:$C$993,'Payroll Summary'!A20,Attendance!$K$4:$K$993)</f>
        <v>0</v>
      </c>
      <c r="I20" s="38">
        <f>'Advances &amp; Deductions'!H20</f>
        <v>7400</v>
      </c>
      <c r="J20" s="38">
        <f>'Advances &amp; Deductions'!I20</f>
        <v>0</v>
      </c>
      <c r="K20" s="37">
        <f t="shared" si="0"/>
        <v>1975.925925925925</v>
      </c>
    </row>
    <row r="21" spans="1:11" ht="21.75" customHeight="1">
      <c r="A21" s="3" t="s">
        <v>39</v>
      </c>
      <c r="B21" s="3" t="s">
        <v>37</v>
      </c>
      <c r="C21" s="3" t="s">
        <v>31</v>
      </c>
      <c r="D21" s="34">
        <f>VLOOKUP(A21,Employees!A:J,4,0)</f>
        <v>7000</v>
      </c>
      <c r="E21" s="35">
        <f>SUMIF(Attendance!$C$4:$C$993,A21,Attendance!$P$4:$P$993)</f>
        <v>0</v>
      </c>
      <c r="F21" s="35">
        <f>SUMIF(Attendance!$C$4:$C$993,A21,Attendance!$M$4:$M$993)</f>
        <v>0</v>
      </c>
      <c r="G21" s="10">
        <f>SUMIF(Attendance!$C$4:$C$993,A21,Attendance!$O$4:$O$993)</f>
        <v>179.68106995884713</v>
      </c>
      <c r="H21" s="10">
        <f>SUMIF(Attendance!$C$4:$C$993,'Payroll Summary'!A21,Attendance!$K$4:$K$993)</f>
        <v>0</v>
      </c>
      <c r="I21" s="36">
        <f>'Advances &amp; Deductions'!H21</f>
        <v>5200</v>
      </c>
      <c r="J21" s="36">
        <f>'Advances &amp; Deductions'!I21</f>
        <v>0</v>
      </c>
      <c r="K21" s="37">
        <f t="shared" si="0"/>
        <v>1979.681069958847</v>
      </c>
    </row>
    <row r="22" spans="1:11" ht="21.75" customHeight="1">
      <c r="A22" s="7" t="s">
        <v>40</v>
      </c>
      <c r="B22" s="7" t="s">
        <v>157</v>
      </c>
      <c r="C22" s="7" t="s">
        <v>31</v>
      </c>
      <c r="D22" s="34">
        <f>VLOOKUP(A22,Employees!A:J,4,0)</f>
        <v>7000</v>
      </c>
      <c r="E22" s="35">
        <f>SUMIF(Attendance!$C$4:$C$993,A22,Attendance!$P$4:$P$993)</f>
        <v>0</v>
      </c>
      <c r="F22" s="35">
        <f>SUMIF(Attendance!$C$4:$C$993,A22,Attendance!$M$4:$M$993)</f>
        <v>0</v>
      </c>
      <c r="G22" s="10">
        <f>SUMIF(Attendance!$C$4:$C$993,A22,Attendance!$O$4:$O$993)</f>
        <v>291.66666666666595</v>
      </c>
      <c r="H22" s="10">
        <f>SUMIF(Attendance!$C$4:$C$993,'Payroll Summary'!A22,Attendance!$K$4:$K$993)</f>
        <v>0</v>
      </c>
      <c r="I22" s="38">
        <f>'Advances &amp; Deductions'!H22</f>
        <v>5200</v>
      </c>
      <c r="J22" s="38">
        <f>'Advances &amp; Deductions'!I22</f>
        <v>0</v>
      </c>
      <c r="K22" s="37">
        <f t="shared" si="0"/>
        <v>2091.6666666666661</v>
      </c>
    </row>
    <row r="23" spans="1:11" ht="21.75" customHeight="1">
      <c r="A23" s="3" t="s">
        <v>41</v>
      </c>
      <c r="B23" s="3" t="s">
        <v>158</v>
      </c>
      <c r="C23" s="3" t="s">
        <v>31</v>
      </c>
      <c r="D23" s="34">
        <f>VLOOKUP(A23,Employees!A:J,4,0)</f>
        <v>7000</v>
      </c>
      <c r="E23" s="35">
        <f>SUMIF(Attendance!$C$4:$C$993,A23,Attendance!$P$4:$P$993)</f>
        <v>0</v>
      </c>
      <c r="F23" s="35">
        <f>SUMIF(Attendance!$C$4:$C$993,A23,Attendance!$M$4:$M$993)</f>
        <v>0</v>
      </c>
      <c r="G23" s="10">
        <f>SUMIF(Attendance!$C$4:$C$993,A23,Attendance!$O$4:$O$993)</f>
        <v>280.86419753086363</v>
      </c>
      <c r="H23" s="10">
        <f>SUMIF(Attendance!$C$4:$C$993,'Payroll Summary'!A23,Attendance!$K$4:$K$993)</f>
        <v>0</v>
      </c>
      <c r="I23" s="36">
        <f>'Advances &amp; Deductions'!H23</f>
        <v>5200</v>
      </c>
      <c r="J23" s="36">
        <f>'Advances &amp; Deductions'!I23</f>
        <v>0</v>
      </c>
      <c r="K23" s="37">
        <f t="shared" si="0"/>
        <v>2080.8641975308637</v>
      </c>
    </row>
    <row r="24" spans="1:11" ht="21.75" customHeight="1">
      <c r="A24" s="7" t="s">
        <v>42</v>
      </c>
      <c r="B24" s="7" t="s">
        <v>159</v>
      </c>
      <c r="C24" s="7" t="s">
        <v>172</v>
      </c>
      <c r="D24" s="34">
        <f>VLOOKUP(A24,Employees!A:J,4,0)</f>
        <v>12000</v>
      </c>
      <c r="E24" s="35">
        <f>SUMIF(Attendance!$C$4:$C$993,A24,Attendance!$P$4:$P$993)</f>
        <v>3555.5555555555552</v>
      </c>
      <c r="F24" s="35">
        <f>SUMIF(Attendance!$C$4:$C$993,A24,Attendance!$M$4:$M$993)</f>
        <v>0</v>
      </c>
      <c r="G24" s="10">
        <f>SUMIF(Attendance!$C$4:$C$993,A24,Attendance!$O$4:$O$993)</f>
        <v>0</v>
      </c>
      <c r="H24" s="10">
        <f>SUMIF(Attendance!$C$4:$C$993,'Payroll Summary'!A24,Attendance!$K$4:$K$993)</f>
        <v>0</v>
      </c>
      <c r="I24" s="38">
        <f>'Advances &amp; Deductions'!H24</f>
        <v>3900</v>
      </c>
      <c r="J24" s="38">
        <f>'Advances &amp; Deductions'!I24</f>
        <v>0</v>
      </c>
      <c r="K24" s="37">
        <f t="shared" si="0"/>
        <v>4544.4444444444453</v>
      </c>
    </row>
    <row r="25" spans="1:11" ht="21.75" customHeight="1">
      <c r="A25" s="3" t="s">
        <v>43</v>
      </c>
      <c r="B25" s="3" t="s">
        <v>160</v>
      </c>
      <c r="C25" s="3" t="s">
        <v>172</v>
      </c>
      <c r="D25" s="34">
        <f>VLOOKUP(A25,Employees!A:J,4,0)</f>
        <v>12000</v>
      </c>
      <c r="E25" s="35">
        <f>SUMIF(Attendance!$C$4:$C$993,A25,Attendance!$P$4:$P$993)</f>
        <v>444.44444444444446</v>
      </c>
      <c r="F25" s="35">
        <f>SUMIF(Attendance!$C$4:$C$993,A25,Attendance!$M$4:$M$993)</f>
        <v>0</v>
      </c>
      <c r="G25" s="10">
        <f>SUMIF(Attendance!$C$4:$C$993,A25,Attendance!$O$4:$O$993)</f>
        <v>474.69135802468998</v>
      </c>
      <c r="H25" s="10">
        <f>SUMIF(Attendance!$C$4:$C$993,'Payroll Summary'!A25,Attendance!$K$4:$K$993)</f>
        <v>0</v>
      </c>
      <c r="I25" s="36">
        <f>'Advances &amp; Deductions'!H25</f>
        <v>2150</v>
      </c>
      <c r="J25" s="36">
        <f>'Advances &amp; Deductions'!I25</f>
        <v>4000</v>
      </c>
      <c r="K25" s="37">
        <f t="shared" si="0"/>
        <v>5880.2469135802448</v>
      </c>
    </row>
    <row r="26" spans="1:11" ht="21.75" customHeight="1">
      <c r="A26" s="7" t="s">
        <v>44</v>
      </c>
      <c r="B26" s="7" t="s">
        <v>161</v>
      </c>
      <c r="C26" s="7" t="s">
        <v>173</v>
      </c>
      <c r="D26" s="34">
        <f>VLOOKUP(A26,Employees!A:J,4,0)</f>
        <v>10500</v>
      </c>
      <c r="E26" s="35">
        <f>SUMIF(Attendance!$C$4:$C$993,A26,Attendance!$P$4:$P$993)</f>
        <v>388.88888888888891</v>
      </c>
      <c r="F26" s="35">
        <f>SUMIF(Attendance!$C$4:$C$993,A26,Attendance!$M$4:$M$993)</f>
        <v>0</v>
      </c>
      <c r="G26" s="10">
        <f>SUMIF(Attendance!$C$4:$C$993,A26,Attendance!$O$4:$O$993)</f>
        <v>0</v>
      </c>
      <c r="H26" s="10">
        <f>SUMIF(Attendance!$C$4:$C$993,'Payroll Summary'!A26,Attendance!$K$4:$K$993)</f>
        <v>0</v>
      </c>
      <c r="I26" s="38">
        <f>'Advances &amp; Deductions'!H26</f>
        <v>4800</v>
      </c>
      <c r="J26" s="38">
        <f>'Advances &amp; Deductions'!I26</f>
        <v>1400</v>
      </c>
      <c r="K26" s="37">
        <f t="shared" si="0"/>
        <v>3911.1111111111113</v>
      </c>
    </row>
    <row r="27" spans="1:11" ht="21.75" customHeight="1">
      <c r="A27" s="3" t="s">
        <v>45</v>
      </c>
      <c r="B27" s="3" t="s">
        <v>162</v>
      </c>
      <c r="C27" s="3" t="s">
        <v>173</v>
      </c>
      <c r="D27" s="34">
        <f>VLOOKUP(A27,Employees!A:J,4,0)</f>
        <v>10500</v>
      </c>
      <c r="E27" s="35">
        <f>SUMIF(Attendance!$C$4:$C$993,A27,Attendance!$P$4:$P$993)</f>
        <v>0</v>
      </c>
      <c r="F27" s="35">
        <f>SUMIF(Attendance!$C$4:$C$993,A27,Attendance!$M$4:$M$993)</f>
        <v>0</v>
      </c>
      <c r="G27" s="10">
        <f>SUMIF(Attendance!$C$4:$C$993,A27,Attendance!$O$4:$O$993)</f>
        <v>0</v>
      </c>
      <c r="H27" s="10">
        <f>SUMIF(Attendance!$C$4:$C$993,'Payroll Summary'!A27,Attendance!$K$4:$K$993)</f>
        <v>0</v>
      </c>
      <c r="I27" s="36">
        <f>'Advances &amp; Deductions'!H27</f>
        <v>0</v>
      </c>
      <c r="J27" s="36">
        <f>'Advances &amp; Deductions'!I27</f>
        <v>0</v>
      </c>
      <c r="K27" s="37">
        <f t="shared" si="0"/>
        <v>10500</v>
      </c>
    </row>
    <row r="28" spans="1:11" ht="21.75" customHeight="1">
      <c r="A28" s="7" t="s">
        <v>46</v>
      </c>
      <c r="B28" s="7" t="s">
        <v>163</v>
      </c>
      <c r="C28" s="7" t="s">
        <v>173</v>
      </c>
      <c r="D28" s="34">
        <f>VLOOKUP(A28,Employees!A:J,4,0)</f>
        <v>9500</v>
      </c>
      <c r="E28" s="35">
        <f>SUMIF(Attendance!$C$4:$C$993,A28,Attendance!$P$4:$P$993)</f>
        <v>351.85185185185185</v>
      </c>
      <c r="F28" s="35">
        <f>SUMIF(Attendance!$C$4:$C$993,A28,Attendance!$M$4:$M$993)</f>
        <v>0</v>
      </c>
      <c r="G28" s="10">
        <f>SUMIF(Attendance!$C$4:$C$993,A28,Attendance!$O$4:$O$993)</f>
        <v>0</v>
      </c>
      <c r="H28" s="10">
        <f>SUMIF(Attendance!$C$4:$C$993,'Payroll Summary'!A28,Attendance!$K$4:$K$993)</f>
        <v>0</v>
      </c>
      <c r="I28" s="38">
        <f>'Advances &amp; Deductions'!H28</f>
        <v>2400</v>
      </c>
      <c r="J28" s="38">
        <f>'Advances &amp; Deductions'!I28</f>
        <v>0</v>
      </c>
      <c r="K28" s="37">
        <f t="shared" si="0"/>
        <v>6748.1481481481478</v>
      </c>
    </row>
    <row r="29" spans="1:11" ht="21.75" customHeight="1">
      <c r="A29" s="3" t="s">
        <v>47</v>
      </c>
      <c r="B29" s="3" t="s">
        <v>164</v>
      </c>
      <c r="C29" s="3" t="s">
        <v>173</v>
      </c>
      <c r="D29" s="34">
        <f>VLOOKUP(A29,Employees!A:J,4,0)</f>
        <v>9500</v>
      </c>
      <c r="E29" s="35">
        <f>SUMIF(Attendance!$C$4:$C$993,A29,Attendance!$P$4:$P$993)</f>
        <v>0</v>
      </c>
      <c r="F29" s="35">
        <f>SUMIF(Attendance!$C$4:$C$993,A29,Attendance!$M$4:$M$993)</f>
        <v>0</v>
      </c>
      <c r="G29" s="10">
        <f>SUMIF(Attendance!$C$4:$C$993,A29,Attendance!$O$4:$O$993)</f>
        <v>0</v>
      </c>
      <c r="H29" s="10">
        <f>SUMIF(Attendance!$C$4:$C$993,'Payroll Summary'!A29,Attendance!$K$4:$K$993)</f>
        <v>0</v>
      </c>
      <c r="I29" s="36">
        <f>'Advances &amp; Deductions'!H29</f>
        <v>2500</v>
      </c>
      <c r="J29" s="36">
        <f>'Advances &amp; Deductions'!I29</f>
        <v>0</v>
      </c>
      <c r="K29" s="37">
        <f t="shared" si="0"/>
        <v>7000</v>
      </c>
    </row>
    <row r="30" spans="1:11" ht="21.75" customHeight="1">
      <c r="A30" s="7" t="s">
        <v>48</v>
      </c>
      <c r="B30" s="7" t="s">
        <v>165</v>
      </c>
      <c r="C30" s="7" t="s">
        <v>173</v>
      </c>
      <c r="D30" s="34">
        <f>VLOOKUP(A30,Employees!A:J,4,0)</f>
        <v>9500</v>
      </c>
      <c r="E30" s="35">
        <f>SUMIF(Attendance!$C$4:$C$993,A30,Attendance!$P$4:$P$993)</f>
        <v>0</v>
      </c>
      <c r="F30" s="35">
        <f>SUMIF(Attendance!$C$4:$C$993,A30,Attendance!$M$4:$M$993)</f>
        <v>0</v>
      </c>
      <c r="G30" s="10">
        <f>SUMIF(Attendance!$C$4:$C$993,A30,Attendance!$O$4:$O$993)</f>
        <v>0</v>
      </c>
      <c r="H30" s="10">
        <f>SUMIF(Attendance!$C$4:$C$993,'Payroll Summary'!A30,Attendance!$K$4:$K$993)</f>
        <v>0</v>
      </c>
      <c r="I30" s="38">
        <f>'Advances &amp; Deductions'!H30</f>
        <v>0</v>
      </c>
      <c r="J30" s="38">
        <f>'Advances &amp; Deductions'!I30</f>
        <v>0</v>
      </c>
      <c r="K30" s="37">
        <f t="shared" si="0"/>
        <v>9500</v>
      </c>
    </row>
    <row r="31" spans="1:11" ht="21.75" customHeight="1">
      <c r="A31" s="3" t="s">
        <v>49</v>
      </c>
      <c r="B31" s="3" t="s">
        <v>166</v>
      </c>
      <c r="C31" s="3" t="s">
        <v>173</v>
      </c>
      <c r="D31" s="34">
        <f>VLOOKUP(A31,Employees!A:J,4,0)</f>
        <v>9500</v>
      </c>
      <c r="E31" s="35">
        <f>SUMIF(Attendance!$C$4:$C$993,A31,Attendance!$P$4:$P$993)</f>
        <v>0</v>
      </c>
      <c r="F31" s="35">
        <f>SUMIF(Attendance!$C$4:$C$993,A31,Attendance!$M$4:$M$993)</f>
        <v>0</v>
      </c>
      <c r="G31" s="10">
        <f>SUMIF(Attendance!$C$4:$C$993,A31,Attendance!$O$4:$O$993)</f>
        <v>272.68518518518465</v>
      </c>
      <c r="H31" s="10">
        <f>SUMIF(Attendance!$C$4:$C$993,'Payroll Summary'!A31,Attendance!$K$4:$K$993)</f>
        <v>0</v>
      </c>
      <c r="I31" s="36">
        <f>'Advances &amp; Deductions'!H31</f>
        <v>3800</v>
      </c>
      <c r="J31" s="36">
        <f>'Advances &amp; Deductions'!I31</f>
        <v>0</v>
      </c>
      <c r="K31" s="37">
        <f t="shared" si="0"/>
        <v>5972.6851851851843</v>
      </c>
    </row>
    <row r="32" spans="1:11" ht="21.75" customHeight="1">
      <c r="A32" s="7" t="s">
        <v>50</v>
      </c>
      <c r="B32" s="7" t="s">
        <v>167</v>
      </c>
      <c r="C32" s="7" t="s">
        <v>173</v>
      </c>
      <c r="D32" s="34">
        <f>VLOOKUP(A32,Employees!A:J,4,0)</f>
        <v>9500</v>
      </c>
      <c r="E32" s="35">
        <f>SUMIF(Attendance!$C$4:$C$993,A32,Attendance!$P$4:$P$993)</f>
        <v>0</v>
      </c>
      <c r="F32" s="35">
        <f>SUMIF(Attendance!$C$4:$C$993,A32,Attendance!$M$4:$M$993)</f>
        <v>0</v>
      </c>
      <c r="G32" s="10">
        <f>SUMIF(Attendance!$C$4:$C$993,A32,Attendance!$O$4:$O$993)</f>
        <v>0</v>
      </c>
      <c r="H32" s="10">
        <f>SUMIF(Attendance!$C$4:$C$993,'Payroll Summary'!A32,Attendance!$K$4:$K$993)</f>
        <v>0</v>
      </c>
      <c r="I32" s="38">
        <f>'Advances &amp; Deductions'!H32</f>
        <v>0</v>
      </c>
      <c r="J32" s="38">
        <f>'Advances &amp; Deductions'!I32</f>
        <v>0</v>
      </c>
      <c r="K32" s="37">
        <f t="shared" si="0"/>
        <v>9500</v>
      </c>
    </row>
    <row r="33" spans="1:11" ht="21.75" customHeight="1">
      <c r="A33" s="3" t="s">
        <v>51</v>
      </c>
      <c r="B33" s="3" t="s">
        <v>168</v>
      </c>
      <c r="C33" s="3" t="s">
        <v>172</v>
      </c>
      <c r="D33" s="34">
        <f>VLOOKUP(A33,Employees!A:J,4,0)</f>
        <v>12000</v>
      </c>
      <c r="E33" s="35">
        <f>SUMIF(Attendance!$C$4:$C$993,A33,Attendance!$P$4:$P$993)</f>
        <v>4444.4444444444443</v>
      </c>
      <c r="F33" s="35">
        <f>SUMIF(Attendance!$C$4:$C$993,A33,Attendance!$M$4:$M$993)</f>
        <v>0</v>
      </c>
      <c r="G33" s="10">
        <f>SUMIF(Attendance!$C$4:$C$993,A33,Attendance!$O$4:$O$993)</f>
        <v>0</v>
      </c>
      <c r="H33" s="10">
        <f>SUMIF(Attendance!$C$4:$C$993,'Payroll Summary'!A33,Attendance!$K$4:$K$993)</f>
        <v>0</v>
      </c>
      <c r="I33" s="36">
        <f>'Advances &amp; Deductions'!H33</f>
        <v>2600</v>
      </c>
      <c r="J33" s="36">
        <f>'Advances &amp; Deductions'!I33</f>
        <v>0</v>
      </c>
      <c r="K33" s="37">
        <f t="shared" si="0"/>
        <v>4955.5555555555557</v>
      </c>
    </row>
    <row r="34" spans="1:11" ht="21.75" customHeight="1">
      <c r="A34" s="7" t="s">
        <v>52</v>
      </c>
      <c r="B34" s="7" t="s">
        <v>169</v>
      </c>
      <c r="C34" s="7" t="s">
        <v>172</v>
      </c>
      <c r="D34" s="34">
        <f>VLOOKUP(A34,Employees!A:J,4,0)</f>
        <v>12000</v>
      </c>
      <c r="E34" s="35">
        <f>SUMIF(Attendance!$C$4:$C$993,A34,Attendance!$P$4:$P$993)</f>
        <v>0</v>
      </c>
      <c r="F34" s="35">
        <f>SUMIF(Attendance!$C$4:$C$993,A34,Attendance!$M$4:$M$993)</f>
        <v>0</v>
      </c>
      <c r="G34" s="10">
        <f>SUMIF(Attendance!$C$4:$C$993,A34,Attendance!$O$4:$O$993)</f>
        <v>0</v>
      </c>
      <c r="H34" s="10">
        <f>SUMIF(Attendance!$C$4:$C$993,'Payroll Summary'!A34,Attendance!$K$4:$K$993)</f>
        <v>0</v>
      </c>
      <c r="I34" s="38">
        <f>'Advances &amp; Deductions'!H34</f>
        <v>1000</v>
      </c>
      <c r="J34" s="38">
        <f>'Advances &amp; Deductions'!I34</f>
        <v>0</v>
      </c>
      <c r="K34" s="37">
        <f t="shared" si="0"/>
        <v>11000</v>
      </c>
    </row>
    <row r="35" spans="1:11" ht="21.75" customHeight="1">
      <c r="A35" s="3" t="s">
        <v>53</v>
      </c>
      <c r="B35" s="3" t="s">
        <v>170</v>
      </c>
      <c r="C35" s="3" t="s">
        <v>172</v>
      </c>
      <c r="D35" s="34">
        <f>VLOOKUP(A35,Employees!A:J,4,0)</f>
        <v>12000</v>
      </c>
      <c r="E35" s="35">
        <f>SUMIF(Attendance!$C$4:$C$993,A35,Attendance!$P$4:$P$993)</f>
        <v>0</v>
      </c>
      <c r="F35" s="35">
        <f>SUMIF(Attendance!$C$4:$C$993,A35,Attendance!$M$4:$M$993)</f>
        <v>0</v>
      </c>
      <c r="G35" s="10">
        <f>SUMIF(Attendance!$C$4:$C$993,A35,Attendance!$O$4:$O$993)</f>
        <v>0</v>
      </c>
      <c r="H35" s="10">
        <f>SUMIF(Attendance!$C$4:$C$993,'Payroll Summary'!A35,Attendance!$K$4:$K$993)</f>
        <v>0</v>
      </c>
      <c r="I35" s="36">
        <f>'Advances &amp; Deductions'!H35</f>
        <v>0</v>
      </c>
      <c r="J35" s="36">
        <f>'Advances &amp; Deductions'!I35</f>
        <v>0</v>
      </c>
      <c r="K35" s="37">
        <f t="shared" si="0"/>
        <v>12000</v>
      </c>
    </row>
    <row r="36" spans="1:11" ht="15" customHeight="1">
      <c r="A36" s="54" t="s">
        <v>116</v>
      </c>
      <c r="B36" s="54"/>
      <c r="C36" s="54"/>
      <c r="D36" s="39">
        <f t="shared" ref="D36:K36" si="1">SUM(D3:D35)</f>
        <v>294500</v>
      </c>
      <c r="E36" s="39">
        <f t="shared" si="1"/>
        <v>21185.185185185182</v>
      </c>
      <c r="F36" s="39">
        <f t="shared" si="1"/>
        <v>7934.8902606310057</v>
      </c>
      <c r="G36" s="39">
        <f t="shared" si="1"/>
        <v>7126.3734567901138</v>
      </c>
      <c r="H36" s="39">
        <f t="shared" si="1"/>
        <v>409.72222222222172</v>
      </c>
      <c r="I36" s="39">
        <f t="shared" si="1"/>
        <v>111750</v>
      </c>
      <c r="J36" s="39">
        <f t="shared" si="1"/>
        <v>5400</v>
      </c>
      <c r="K36" s="39">
        <f t="shared" si="1"/>
        <v>155766.02023319612</v>
      </c>
    </row>
  </sheetData>
  <mergeCells count="2">
    <mergeCell ref="A36:C36"/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4"/>
  <sheetViews>
    <sheetView showGridLines="0" showRowColHeaders="0" rightToLeft="1" topLeftCell="A7" zoomScaleNormal="100" workbookViewId="0">
      <selection activeCell="G45" sqref="G45"/>
    </sheetView>
  </sheetViews>
  <sheetFormatPr defaultColWidth="8.7109375" defaultRowHeight="15"/>
  <cols>
    <col min="1" max="1" width="22" customWidth="1"/>
    <col min="2" max="2" width="18" customWidth="1"/>
    <col min="3" max="3" width="14" customWidth="1"/>
    <col min="4" max="5" width="12" customWidth="1"/>
    <col min="6" max="6" width="14" customWidth="1"/>
    <col min="7" max="7" width="12" customWidth="1"/>
    <col min="8" max="8" width="16" customWidth="1"/>
  </cols>
  <sheetData>
    <row r="1" spans="1:8" ht="39.75" customHeight="1">
      <c r="A1" s="67" t="s">
        <v>117</v>
      </c>
      <c r="B1" s="67"/>
      <c r="C1" s="67"/>
      <c r="D1" s="67"/>
      <c r="E1" s="67"/>
      <c r="F1" s="67"/>
      <c r="G1" s="67"/>
      <c r="H1" s="67"/>
    </row>
    <row r="2" spans="1:8" ht="15" customHeight="1"/>
    <row r="3" spans="1:8" ht="21.75" customHeight="1">
      <c r="A3" s="66" t="s">
        <v>118</v>
      </c>
      <c r="B3" s="66"/>
      <c r="C3" s="66" t="s">
        <v>119</v>
      </c>
      <c r="D3" s="66"/>
      <c r="E3" s="66" t="s">
        <v>120</v>
      </c>
      <c r="F3" s="66"/>
      <c r="G3" s="66" t="s">
        <v>121</v>
      </c>
      <c r="H3" s="66"/>
    </row>
    <row r="4" spans="1:8" ht="34.5" customHeight="1">
      <c r="A4" s="63">
        <f>'Payroll Summary'!D36</f>
        <v>294500</v>
      </c>
      <c r="B4" s="63"/>
      <c r="C4" s="65">
        <f>'Payroll Summary'!I36</f>
        <v>111750</v>
      </c>
      <c r="D4" s="65"/>
      <c r="E4" s="65">
        <f>'Payroll Summary'!J36</f>
        <v>5400</v>
      </c>
      <c r="F4" s="65"/>
      <c r="G4" s="65">
        <f>'Payroll Summary'!E36</f>
        <v>21185.185185185182</v>
      </c>
      <c r="H4" s="65"/>
    </row>
    <row r="6" spans="1:8" ht="21.75" customHeight="1">
      <c r="A6" s="66" t="s">
        <v>122</v>
      </c>
      <c r="B6" s="66"/>
      <c r="C6" s="66" t="s">
        <v>113</v>
      </c>
      <c r="D6" s="66"/>
      <c r="E6" s="66" t="s">
        <v>123</v>
      </c>
      <c r="F6" s="66"/>
      <c r="G6" s="66" t="s">
        <v>141</v>
      </c>
      <c r="H6" s="66"/>
    </row>
    <row r="7" spans="1:8" ht="34.5" customHeight="1">
      <c r="A7" s="60">
        <f>'Payroll Summary'!F36</f>
        <v>7934.8902606310057</v>
      </c>
      <c r="B7" s="60"/>
      <c r="C7" s="61">
        <f>'Payroll Summary'!G36</f>
        <v>7126.3734567901138</v>
      </c>
      <c r="D7" s="61"/>
      <c r="E7" s="62">
        <f>'Payroll Summary'!K36</f>
        <v>155766.02023319612</v>
      </c>
      <c r="F7" s="62"/>
      <c r="G7" s="63">
        <f>'Payroll Summary'!H36</f>
        <v>409.72222222222172</v>
      </c>
      <c r="H7" s="63"/>
    </row>
    <row r="10" spans="1:8" ht="27.75" customHeight="1">
      <c r="A10" s="64" t="s">
        <v>124</v>
      </c>
      <c r="B10" s="64"/>
      <c r="C10" s="64"/>
      <c r="D10" s="64"/>
      <c r="E10" s="64"/>
      <c r="F10" s="64"/>
      <c r="G10" s="64"/>
      <c r="H10" s="64"/>
    </row>
    <row r="11" spans="1:8" ht="21.75" customHeight="1">
      <c r="A11" s="40" t="s">
        <v>125</v>
      </c>
      <c r="B11" s="40" t="s">
        <v>4</v>
      </c>
      <c r="C11" s="40" t="s">
        <v>126</v>
      </c>
      <c r="D11" s="40" t="s">
        <v>127</v>
      </c>
      <c r="E11" s="40" t="s">
        <v>128</v>
      </c>
      <c r="F11" s="40" t="s">
        <v>129</v>
      </c>
      <c r="G11" s="40" t="s">
        <v>108</v>
      </c>
      <c r="H11" s="40" t="s">
        <v>115</v>
      </c>
    </row>
    <row r="12" spans="1:8" ht="18" customHeight="1">
      <c r="A12" s="41" t="str">
        <f>'Payroll Summary'!B3</f>
        <v>احمد خالد</v>
      </c>
      <c r="B12" s="41" t="str">
        <f>'Payroll Summary'!C3</f>
        <v>مدير مبيعات</v>
      </c>
      <c r="C12" s="42">
        <f>'Payroll Summary'!D3</f>
        <v>10000</v>
      </c>
      <c r="D12" s="42">
        <f>'Payroll Summary'!E3</f>
        <v>0</v>
      </c>
      <c r="E12" s="42">
        <f>'Payroll Summary'!F3</f>
        <v>0</v>
      </c>
      <c r="F12" s="42">
        <f>'Payroll Summary'!G3</f>
        <v>0</v>
      </c>
      <c r="G12" s="42">
        <f>'Payroll Summary'!I3</f>
        <v>7000</v>
      </c>
      <c r="H12" s="42">
        <f>'Payroll Summary'!K3</f>
        <v>3000</v>
      </c>
    </row>
    <row r="13" spans="1:8" ht="18" customHeight="1">
      <c r="A13" s="43" t="str">
        <f>'Payroll Summary'!B4</f>
        <v>هشام عادل</v>
      </c>
      <c r="B13" s="43" t="str">
        <f>'Payroll Summary'!C4</f>
        <v>مدير مبيعات</v>
      </c>
      <c r="C13" s="44">
        <f>'Payroll Summary'!D4</f>
        <v>9000</v>
      </c>
      <c r="D13" s="44">
        <f>'Payroll Summary'!E4</f>
        <v>0</v>
      </c>
      <c r="E13" s="44">
        <f>'Payroll Summary'!F4</f>
        <v>0</v>
      </c>
      <c r="F13" s="44">
        <f>'Payroll Summary'!G4</f>
        <v>0</v>
      </c>
      <c r="G13" s="44">
        <f>'Payroll Summary'!I4</f>
        <v>7700</v>
      </c>
      <c r="H13" s="44">
        <f>'Payroll Summary'!K4</f>
        <v>1300</v>
      </c>
    </row>
    <row r="14" spans="1:8" ht="18" customHeight="1">
      <c r="A14" s="41" t="str">
        <f>'Payroll Summary'!B5</f>
        <v>احمد الشاذلى</v>
      </c>
      <c r="B14" s="41" t="str">
        <f>'Payroll Summary'!C5</f>
        <v>مبيعات</v>
      </c>
      <c r="C14" s="42">
        <f>'Payroll Summary'!D5</f>
        <v>7000</v>
      </c>
      <c r="D14" s="42">
        <f>'Payroll Summary'!E5</f>
        <v>1037.037037037037</v>
      </c>
      <c r="E14" s="42">
        <f>'Payroll Summary'!F5</f>
        <v>208.36762688614539</v>
      </c>
      <c r="F14" s="42">
        <f>'Payroll Summary'!G5</f>
        <v>67.695473251028787</v>
      </c>
      <c r="G14" s="42">
        <f>'Payroll Summary'!I5</f>
        <v>4000</v>
      </c>
      <c r="H14" s="42">
        <f>'Payroll Summary'!K5</f>
        <v>1822.2908093278468</v>
      </c>
    </row>
    <row r="15" spans="1:8" ht="18" customHeight="1">
      <c r="A15" s="43" t="str">
        <f>'Payroll Summary'!B6</f>
        <v>يوسف احمد</v>
      </c>
      <c r="B15" s="43" t="str">
        <f>'Payroll Summary'!C6</f>
        <v>مبيعات</v>
      </c>
      <c r="C15" s="44">
        <f>'Payroll Summary'!D6</f>
        <v>7000</v>
      </c>
      <c r="D15" s="44">
        <f>'Payroll Summary'!E6</f>
        <v>0</v>
      </c>
      <c r="E15" s="44">
        <f>'Payroll Summary'!F6</f>
        <v>75.617283950617406</v>
      </c>
      <c r="F15" s="44">
        <f>'Payroll Summary'!G6</f>
        <v>104.78395061728399</v>
      </c>
      <c r="G15" s="44">
        <f>'Payroll Summary'!I6</f>
        <v>5200</v>
      </c>
      <c r="H15" s="44">
        <f>'Payroll Summary'!K6</f>
        <v>1829.166666666667</v>
      </c>
    </row>
    <row r="16" spans="1:8" ht="18" customHeight="1">
      <c r="A16" s="41" t="str">
        <f>'Payroll Summary'!B7</f>
        <v>محمد السيد</v>
      </c>
      <c r="B16" s="41" t="str">
        <f>'Payroll Summary'!C7</f>
        <v>مبيعات</v>
      </c>
      <c r="C16" s="42">
        <f>'Payroll Summary'!D7</f>
        <v>7000</v>
      </c>
      <c r="D16" s="42">
        <f>'Payroll Summary'!E7</f>
        <v>259.25925925925924</v>
      </c>
      <c r="E16" s="42">
        <f>'Payroll Summary'!F7</f>
        <v>390.32921810699497</v>
      </c>
      <c r="F16" s="42">
        <f>'Payroll Summary'!G7</f>
        <v>53.472222222222285</v>
      </c>
      <c r="G16" s="42">
        <f>'Payroll Summary'!I7</f>
        <v>5500</v>
      </c>
      <c r="H16" s="42">
        <f>'Payroll Summary'!K7</f>
        <v>903.88374485596853</v>
      </c>
    </row>
    <row r="17" spans="1:8" ht="18" customHeight="1">
      <c r="A17" s="43" t="str">
        <f>'Payroll Summary'!B8</f>
        <v>يحي طارق</v>
      </c>
      <c r="B17" s="43" t="str">
        <f>'Payroll Summary'!C8</f>
        <v>مبيعات</v>
      </c>
      <c r="C17" s="44">
        <f>'Payroll Summary'!D8</f>
        <v>7000</v>
      </c>
      <c r="D17" s="44">
        <f>'Payroll Summary'!E8</f>
        <v>777.77777777777771</v>
      </c>
      <c r="E17" s="44">
        <f>'Payroll Summary'!F8</f>
        <v>1814.0946502057591</v>
      </c>
      <c r="F17" s="44">
        <f>'Payroll Summary'!G8</f>
        <v>242.51543209876542</v>
      </c>
      <c r="G17" s="44">
        <f>'Payroll Summary'!I8</f>
        <v>5200</v>
      </c>
      <c r="H17" s="44">
        <f>'Payroll Summary'!K8</f>
        <v>-549.35699588477155</v>
      </c>
    </row>
    <row r="18" spans="1:8" ht="18" customHeight="1">
      <c r="A18" s="41" t="str">
        <f>'Payroll Summary'!B9</f>
        <v>عابدين محمد</v>
      </c>
      <c r="B18" s="41" t="str">
        <f>'Payroll Summary'!C9</f>
        <v>مبيعات</v>
      </c>
      <c r="C18" s="42">
        <f>'Payroll Summary'!D9</f>
        <v>7000</v>
      </c>
      <c r="D18" s="42">
        <f>'Payroll Summary'!E9</f>
        <v>1037.037037037037</v>
      </c>
      <c r="E18" s="42">
        <f>'Payroll Summary'!F9</f>
        <v>2008.5390946502027</v>
      </c>
      <c r="F18" s="42">
        <f>'Payroll Summary'!G9</f>
        <v>126.38888888888886</v>
      </c>
      <c r="G18" s="42">
        <f>'Payroll Summary'!I9</f>
        <v>5500</v>
      </c>
      <c r="H18" s="42">
        <f>'Payroll Summary'!K9</f>
        <v>-1419.1872427983506</v>
      </c>
    </row>
    <row r="19" spans="1:8" ht="18" customHeight="1">
      <c r="A19" s="43" t="str">
        <f>'Payroll Summary'!B10</f>
        <v>احمد رمصان</v>
      </c>
      <c r="B19" s="43" t="str">
        <f>'Payroll Summary'!C10</f>
        <v>مبيعات</v>
      </c>
      <c r="C19" s="44">
        <f>'Payroll Summary'!D10</f>
        <v>7000</v>
      </c>
      <c r="D19" s="44">
        <f>'Payroll Summary'!E10</f>
        <v>0</v>
      </c>
      <c r="E19" s="44">
        <f>'Payroll Summary'!F10</f>
        <v>0</v>
      </c>
      <c r="F19" s="44">
        <f>'Payroll Summary'!G10</f>
        <v>64.814814814814895</v>
      </c>
      <c r="G19" s="44">
        <f>'Payroll Summary'!I10</f>
        <v>5000</v>
      </c>
      <c r="H19" s="44">
        <f>'Payroll Summary'!K10</f>
        <v>2064.8148148148148</v>
      </c>
    </row>
    <row r="20" spans="1:8" ht="18" customHeight="1">
      <c r="A20" s="41" t="str">
        <f>'Payroll Summary'!B11</f>
        <v>هشام اشرف</v>
      </c>
      <c r="B20" s="41" t="str">
        <f>'Payroll Summary'!C11</f>
        <v>مبيعات</v>
      </c>
      <c r="C20" s="42">
        <f>'Payroll Summary'!D11</f>
        <v>7000</v>
      </c>
      <c r="D20" s="42">
        <f>'Payroll Summary'!E11</f>
        <v>0</v>
      </c>
      <c r="E20" s="42">
        <f>'Payroll Summary'!F11</f>
        <v>93.621399176954853</v>
      </c>
      <c r="F20" s="42">
        <f>'Payroll Summary'!G11</f>
        <v>156.63580246913585</v>
      </c>
      <c r="G20" s="42">
        <f>'Payroll Summary'!I11</f>
        <v>4800</v>
      </c>
      <c r="H20" s="42">
        <f>'Payroll Summary'!K11</f>
        <v>2263.0144032921812</v>
      </c>
    </row>
    <row r="21" spans="1:8" ht="18" customHeight="1">
      <c r="A21" s="43" t="str">
        <f>'Payroll Summary'!B12</f>
        <v>محمود اسماعيل</v>
      </c>
      <c r="B21" s="43" t="str">
        <f>'Payroll Summary'!C12</f>
        <v>مبيعات</v>
      </c>
      <c r="C21" s="44">
        <f>'Payroll Summary'!D12</f>
        <v>7000</v>
      </c>
      <c r="D21" s="44">
        <f>'Payroll Summary'!E12</f>
        <v>259.25925925925924</v>
      </c>
      <c r="E21" s="44">
        <f>'Payroll Summary'!F12</f>
        <v>0</v>
      </c>
      <c r="F21" s="44">
        <f>'Payroll Summary'!G12</f>
        <v>114.81481481481484</v>
      </c>
      <c r="G21" s="44">
        <f>'Payroll Summary'!I12</f>
        <v>1000</v>
      </c>
      <c r="H21" s="44">
        <f>'Payroll Summary'!K12</f>
        <v>5883.333333333333</v>
      </c>
    </row>
    <row r="22" spans="1:8" ht="18" customHeight="1">
      <c r="A22" s="41" t="str">
        <f>'Payroll Summary'!B13</f>
        <v>ابراهيم خليفة</v>
      </c>
      <c r="B22" s="41" t="str">
        <f>'Payroll Summary'!C13</f>
        <v>مبيعات</v>
      </c>
      <c r="C22" s="42">
        <f>'Payroll Summary'!D13</f>
        <v>7000</v>
      </c>
      <c r="D22" s="42">
        <f>'Payroll Summary'!E13</f>
        <v>0</v>
      </c>
      <c r="E22" s="42">
        <f>'Payroll Summary'!F13</f>
        <v>0</v>
      </c>
      <c r="F22" s="42">
        <f>'Payroll Summary'!G13</f>
        <v>974.9228395061707</v>
      </c>
      <c r="G22" s="42">
        <f>'Payroll Summary'!I13</f>
        <v>7500</v>
      </c>
      <c r="H22" s="42">
        <f>'Payroll Summary'!K13</f>
        <v>474.9228395061707</v>
      </c>
    </row>
    <row r="23" spans="1:8" ht="18" customHeight="1">
      <c r="A23" s="43" t="str">
        <f>'Payroll Summary'!B14</f>
        <v>طارق سعد</v>
      </c>
      <c r="B23" s="43" t="str">
        <f>'Payroll Summary'!C14</f>
        <v>مبيعات</v>
      </c>
      <c r="C23" s="44">
        <f>'Payroll Summary'!D14</f>
        <v>7000</v>
      </c>
      <c r="D23" s="44">
        <f>'Payroll Summary'!E14</f>
        <v>0</v>
      </c>
      <c r="E23" s="44">
        <f>'Payroll Summary'!F14</f>
        <v>0</v>
      </c>
      <c r="F23" s="44">
        <f>'Payroll Summary'!G14</f>
        <v>0</v>
      </c>
      <c r="G23" s="44">
        <f>'Payroll Summary'!I14</f>
        <v>0</v>
      </c>
      <c r="H23" s="44">
        <f>'Payroll Summary'!K14</f>
        <v>7000</v>
      </c>
    </row>
    <row r="24" spans="1:8" ht="18" customHeight="1">
      <c r="A24" s="41" t="str">
        <f>'Payroll Summary'!B15</f>
        <v>مؤمن جاد</v>
      </c>
      <c r="B24" s="41" t="str">
        <f>'Payroll Summary'!C15</f>
        <v>مبيعات</v>
      </c>
      <c r="C24" s="42">
        <f>'Payroll Summary'!D15</f>
        <v>7000</v>
      </c>
      <c r="D24" s="42">
        <f>'Payroll Summary'!E15</f>
        <v>2592.5925925925917</v>
      </c>
      <c r="E24" s="42">
        <f>'Payroll Summary'!F15</f>
        <v>1008.5185185185214</v>
      </c>
      <c r="F24" s="42">
        <f>'Payroll Summary'!G15</f>
        <v>158.79629629629625</v>
      </c>
      <c r="G24" s="42">
        <f>'Payroll Summary'!I15</f>
        <v>1200</v>
      </c>
      <c r="H24" s="42">
        <f>'Payroll Summary'!K15</f>
        <v>2357.6851851851834</v>
      </c>
    </row>
    <row r="25" spans="1:8" ht="18" customHeight="1">
      <c r="A25" s="43" t="str">
        <f>'Payroll Summary'!B16</f>
        <v>محمد حسين</v>
      </c>
      <c r="B25" s="43" t="str">
        <f>'Payroll Summary'!C16</f>
        <v>حسابات</v>
      </c>
      <c r="C25" s="44">
        <f>'Payroll Summary'!D16</f>
        <v>11000</v>
      </c>
      <c r="D25" s="44">
        <f>'Payroll Summary'!E16</f>
        <v>814.81481481481478</v>
      </c>
      <c r="E25" s="44">
        <f>'Payroll Summary'!F16</f>
        <v>1109.5061728395094</v>
      </c>
      <c r="F25" s="44">
        <f>'Payroll Summary'!G16</f>
        <v>1266.0185185185178</v>
      </c>
      <c r="G25" s="44">
        <f>'Payroll Summary'!I16</f>
        <v>0</v>
      </c>
      <c r="H25" s="44">
        <f>'Payroll Summary'!K16</f>
        <v>10671.697530864196</v>
      </c>
    </row>
    <row r="26" spans="1:8" ht="18" customHeight="1">
      <c r="A26" s="41" t="str">
        <f>'Payroll Summary'!B17</f>
        <v>معتز شوقى</v>
      </c>
      <c r="B26" s="41" t="str">
        <f>'Payroll Summary'!C17</f>
        <v>حسابات</v>
      </c>
      <c r="C26" s="42">
        <f>'Payroll Summary'!D17</f>
        <v>11000</v>
      </c>
      <c r="D26" s="42">
        <f>'Payroll Summary'!E17</f>
        <v>1222.2222222222222</v>
      </c>
      <c r="E26" s="42">
        <f>'Payroll Summary'!F17</f>
        <v>1226.2962962963004</v>
      </c>
      <c r="F26" s="42">
        <f>'Payroll Summary'!G17</f>
        <v>1569.5370370370365</v>
      </c>
      <c r="G26" s="42">
        <f>'Payroll Summary'!I17</f>
        <v>0</v>
      </c>
      <c r="H26" s="42">
        <f>'Payroll Summary'!K17</f>
        <v>10172.962962962958</v>
      </c>
    </row>
    <row r="27" spans="1:8" ht="18" customHeight="1">
      <c r="A27" s="43" t="str">
        <f>'Payroll Summary'!B18</f>
        <v>احمد عزت</v>
      </c>
      <c r="B27" s="43" t="str">
        <f>'Payroll Summary'!C18</f>
        <v>حسابات</v>
      </c>
      <c r="C27" s="44">
        <f>'Payroll Summary'!D18</f>
        <v>9000</v>
      </c>
      <c r="D27" s="44">
        <f>'Payroll Summary'!E18</f>
        <v>4000.0000000000005</v>
      </c>
      <c r="E27" s="44">
        <f>'Payroll Summary'!F18</f>
        <v>0</v>
      </c>
      <c r="F27" s="44">
        <f>'Payroll Summary'!G18</f>
        <v>0</v>
      </c>
      <c r="G27" s="44">
        <f>'Payroll Summary'!I18</f>
        <v>0</v>
      </c>
      <c r="H27" s="44">
        <f>'Payroll Summary'!K18</f>
        <v>5000</v>
      </c>
    </row>
    <row r="28" spans="1:8" ht="18" customHeight="1">
      <c r="A28" s="41" t="str">
        <f>'Payroll Summary'!B19</f>
        <v>احمد جمعه</v>
      </c>
      <c r="B28" s="41" t="str">
        <f>'Payroll Summary'!C19</f>
        <v>حسابات</v>
      </c>
      <c r="C28" s="42">
        <f>'Payroll Summary'!D19</f>
        <v>9000</v>
      </c>
      <c r="D28" s="42">
        <f>'Payroll Summary'!E19</f>
        <v>0</v>
      </c>
      <c r="E28" s="42">
        <f>'Payroll Summary'!F19</f>
        <v>0</v>
      </c>
      <c r="F28" s="42">
        <f>'Payroll Summary'!G19</f>
        <v>350.46296296296197</v>
      </c>
      <c r="G28" s="42">
        <f>'Payroll Summary'!I19</f>
        <v>6000</v>
      </c>
      <c r="H28" s="42">
        <f>'Payroll Summary'!K19</f>
        <v>3350.4629629629621</v>
      </c>
    </row>
    <row r="29" spans="1:8" ht="18" customHeight="1">
      <c r="A29" s="43" t="str">
        <f>'Payroll Summary'!B20</f>
        <v>محمد سمير</v>
      </c>
      <c r="B29" s="43" t="str">
        <f>'Payroll Summary'!C20</f>
        <v>حسابات</v>
      </c>
      <c r="C29" s="44">
        <f>'Payroll Summary'!D20</f>
        <v>9000</v>
      </c>
      <c r="D29" s="44">
        <f>'Payroll Summary'!E20</f>
        <v>0</v>
      </c>
      <c r="E29" s="44">
        <f>'Payroll Summary'!F20</f>
        <v>0</v>
      </c>
      <c r="F29" s="44">
        <f>'Payroll Summary'!G20</f>
        <v>375.92592592592496</v>
      </c>
      <c r="G29" s="44">
        <f>'Payroll Summary'!I20</f>
        <v>7400</v>
      </c>
      <c r="H29" s="44">
        <f>'Payroll Summary'!K20</f>
        <v>1975.925925925925</v>
      </c>
    </row>
    <row r="30" spans="1:8" ht="18" customHeight="1">
      <c r="A30" s="41" t="str">
        <f>'Payroll Summary'!B21</f>
        <v>احمد سمير</v>
      </c>
      <c r="B30" s="41" t="str">
        <f>'Payroll Summary'!C21</f>
        <v>حسابات</v>
      </c>
      <c r="C30" s="42">
        <f>'Payroll Summary'!D21</f>
        <v>7000</v>
      </c>
      <c r="D30" s="42">
        <f>'Payroll Summary'!E21</f>
        <v>0</v>
      </c>
      <c r="E30" s="42">
        <f>'Payroll Summary'!F21</f>
        <v>0</v>
      </c>
      <c r="F30" s="42">
        <f>'Payroll Summary'!G21</f>
        <v>179.68106995884713</v>
      </c>
      <c r="G30" s="42">
        <f>'Payroll Summary'!I21</f>
        <v>5200</v>
      </c>
      <c r="H30" s="42">
        <f>'Payroll Summary'!K21</f>
        <v>1979.681069958847</v>
      </c>
    </row>
    <row r="31" spans="1:8" ht="18" customHeight="1">
      <c r="A31" s="43" t="str">
        <f>'Payroll Summary'!B22</f>
        <v>محمد عبد الكريم</v>
      </c>
      <c r="B31" s="43" t="str">
        <f>'Payroll Summary'!C22</f>
        <v>حسابات</v>
      </c>
      <c r="C31" s="44">
        <f>'Payroll Summary'!D22</f>
        <v>7000</v>
      </c>
      <c r="D31" s="44">
        <f>'Payroll Summary'!E22</f>
        <v>0</v>
      </c>
      <c r="E31" s="44">
        <f>'Payroll Summary'!F22</f>
        <v>0</v>
      </c>
      <c r="F31" s="44">
        <f>'Payroll Summary'!G22</f>
        <v>291.66666666666595</v>
      </c>
      <c r="G31" s="44">
        <f>'Payroll Summary'!I22</f>
        <v>5200</v>
      </c>
      <c r="H31" s="44">
        <f>'Payroll Summary'!K22</f>
        <v>2091.6666666666661</v>
      </c>
    </row>
    <row r="32" spans="1:8" ht="18" customHeight="1">
      <c r="A32" s="41" t="str">
        <f>'Payroll Summary'!B23</f>
        <v>عبدالرحمن على</v>
      </c>
      <c r="B32" s="41" t="str">
        <f>'Payroll Summary'!C23</f>
        <v>حسابات</v>
      </c>
      <c r="C32" s="42">
        <f>'Payroll Summary'!D23</f>
        <v>7000</v>
      </c>
      <c r="D32" s="42">
        <f>'Payroll Summary'!E23</f>
        <v>0</v>
      </c>
      <c r="E32" s="42">
        <f>'Payroll Summary'!F23</f>
        <v>0</v>
      </c>
      <c r="F32" s="42">
        <f>'Payroll Summary'!G23</f>
        <v>280.86419753086363</v>
      </c>
      <c r="G32" s="42">
        <f>'Payroll Summary'!I23</f>
        <v>5200</v>
      </c>
      <c r="H32" s="42">
        <f>'Payroll Summary'!K23</f>
        <v>2080.8641975308637</v>
      </c>
    </row>
    <row r="33" spans="1:8" ht="18" customHeight="1">
      <c r="A33" s="43" t="str">
        <f>'Payroll Summary'!B24</f>
        <v>مصطفى شريف</v>
      </c>
      <c r="B33" s="43" t="str">
        <f>'Payroll Summary'!C24</f>
        <v>اداره</v>
      </c>
      <c r="C33" s="44">
        <f>'Payroll Summary'!D24</f>
        <v>12000</v>
      </c>
      <c r="D33" s="44">
        <f>'Payroll Summary'!E24</f>
        <v>3555.5555555555552</v>
      </c>
      <c r="E33" s="44">
        <f>'Payroll Summary'!F24</f>
        <v>0</v>
      </c>
      <c r="F33" s="44">
        <f>'Payroll Summary'!G24</f>
        <v>0</v>
      </c>
      <c r="G33" s="44">
        <f>'Payroll Summary'!I24</f>
        <v>3900</v>
      </c>
      <c r="H33" s="44">
        <f>'Payroll Summary'!K24</f>
        <v>4544.4444444444453</v>
      </c>
    </row>
    <row r="34" spans="1:8" ht="18" customHeight="1">
      <c r="A34" s="41" t="str">
        <f>'Payroll Summary'!B25</f>
        <v>احمد اشرف</v>
      </c>
      <c r="B34" s="41" t="str">
        <f>'Payroll Summary'!C25</f>
        <v>اداره</v>
      </c>
      <c r="C34" s="42">
        <f>'Payroll Summary'!D25</f>
        <v>12000</v>
      </c>
      <c r="D34" s="42">
        <f>'Payroll Summary'!E25</f>
        <v>444.44444444444446</v>
      </c>
      <c r="E34" s="42">
        <f>'Payroll Summary'!F25</f>
        <v>0</v>
      </c>
      <c r="F34" s="42">
        <f>'Payroll Summary'!G25</f>
        <v>474.69135802468998</v>
      </c>
      <c r="G34" s="42">
        <f>'Payroll Summary'!I25</f>
        <v>2150</v>
      </c>
      <c r="H34" s="42">
        <f>'Payroll Summary'!K25</f>
        <v>5880.2469135802448</v>
      </c>
    </row>
    <row r="35" spans="1:8" ht="18" customHeight="1">
      <c r="A35" s="43" t="str">
        <f>'Payroll Summary'!B26</f>
        <v>منى ناصر</v>
      </c>
      <c r="B35" s="43" t="str">
        <f>'Payroll Summary'!C26</f>
        <v>تسويق</v>
      </c>
      <c r="C35" s="44">
        <f>'Payroll Summary'!D26</f>
        <v>10500</v>
      </c>
      <c r="D35" s="44">
        <f>'Payroll Summary'!E26</f>
        <v>388.88888888888891</v>
      </c>
      <c r="E35" s="44">
        <f>'Payroll Summary'!F26</f>
        <v>0</v>
      </c>
      <c r="F35" s="44">
        <f>'Payroll Summary'!G26</f>
        <v>0</v>
      </c>
      <c r="G35" s="44">
        <f>'Payroll Summary'!I26</f>
        <v>4800</v>
      </c>
      <c r="H35" s="44">
        <f>'Payroll Summary'!K26</f>
        <v>3911.1111111111113</v>
      </c>
    </row>
    <row r="36" spans="1:8" ht="18" customHeight="1">
      <c r="A36" s="41" t="str">
        <f>'Payroll Summary'!B27</f>
        <v>مريم فتح الله</v>
      </c>
      <c r="B36" s="41" t="str">
        <f>'Payroll Summary'!C27</f>
        <v>تسويق</v>
      </c>
      <c r="C36" s="42">
        <f>'Payroll Summary'!D27</f>
        <v>10500</v>
      </c>
      <c r="D36" s="42">
        <f>'Payroll Summary'!E27</f>
        <v>0</v>
      </c>
      <c r="E36" s="42">
        <f>'Payroll Summary'!F27</f>
        <v>0</v>
      </c>
      <c r="F36" s="42">
        <f>'Payroll Summary'!G27</f>
        <v>0</v>
      </c>
      <c r="G36" s="42">
        <f>'Payroll Summary'!I27</f>
        <v>0</v>
      </c>
      <c r="H36" s="42">
        <f>'Payroll Summary'!K27</f>
        <v>10500</v>
      </c>
    </row>
    <row r="37" spans="1:8" ht="18" customHeight="1">
      <c r="A37" s="43" t="str">
        <f>'Payroll Summary'!B28</f>
        <v>ساميه محمد</v>
      </c>
      <c r="B37" s="43" t="str">
        <f>'Payroll Summary'!C28</f>
        <v>تسويق</v>
      </c>
      <c r="C37" s="44">
        <f>'Payroll Summary'!D28</f>
        <v>9500</v>
      </c>
      <c r="D37" s="44">
        <f>'Payroll Summary'!E28</f>
        <v>351.85185185185185</v>
      </c>
      <c r="E37" s="44">
        <f>'Payroll Summary'!F28</f>
        <v>0</v>
      </c>
      <c r="F37" s="44">
        <f>'Payroll Summary'!G28</f>
        <v>0</v>
      </c>
      <c r="G37" s="44">
        <f>'Payroll Summary'!I28</f>
        <v>2400</v>
      </c>
      <c r="H37" s="44">
        <f>'Payroll Summary'!K28</f>
        <v>6748.1481481481478</v>
      </c>
    </row>
    <row r="38" spans="1:8" ht="18" customHeight="1">
      <c r="A38" s="41" t="str">
        <f>'Payroll Summary'!B29</f>
        <v>غادة منير</v>
      </c>
      <c r="B38" s="41" t="str">
        <f>'Payroll Summary'!C29</f>
        <v>تسويق</v>
      </c>
      <c r="C38" s="42">
        <f>'Payroll Summary'!D29</f>
        <v>9500</v>
      </c>
      <c r="D38" s="42">
        <f>'Payroll Summary'!E29</f>
        <v>0</v>
      </c>
      <c r="E38" s="42">
        <f>'Payroll Summary'!F29</f>
        <v>0</v>
      </c>
      <c r="F38" s="42">
        <f>'Payroll Summary'!G29</f>
        <v>0</v>
      </c>
      <c r="G38" s="42">
        <f>'Payroll Summary'!I29</f>
        <v>2500</v>
      </c>
      <c r="H38" s="42">
        <f>'Payroll Summary'!K29</f>
        <v>7000</v>
      </c>
    </row>
    <row r="39" spans="1:8" ht="18" customHeight="1">
      <c r="A39" s="43" t="str">
        <f>'Payroll Summary'!B30</f>
        <v>هيام عبدالرحيم</v>
      </c>
      <c r="B39" s="43" t="str">
        <f>'Payroll Summary'!C30</f>
        <v>تسويق</v>
      </c>
      <c r="C39" s="44">
        <f>'Payroll Summary'!D30</f>
        <v>9500</v>
      </c>
      <c r="D39" s="44">
        <f>'Payroll Summary'!E30</f>
        <v>0</v>
      </c>
      <c r="E39" s="44">
        <f>'Payroll Summary'!F30</f>
        <v>0</v>
      </c>
      <c r="F39" s="44">
        <f>'Payroll Summary'!G30</f>
        <v>0</v>
      </c>
      <c r="G39" s="44">
        <f>'Payroll Summary'!I30</f>
        <v>0</v>
      </c>
      <c r="H39" s="44">
        <f>'Payroll Summary'!K30</f>
        <v>9500</v>
      </c>
    </row>
    <row r="40" spans="1:8" ht="18" customHeight="1">
      <c r="A40" s="41" t="str">
        <f>'Payroll Summary'!B31</f>
        <v>يونس خالد</v>
      </c>
      <c r="B40" s="41" t="str">
        <f>'Payroll Summary'!C31</f>
        <v>تسويق</v>
      </c>
      <c r="C40" s="42">
        <f>'Payroll Summary'!D31</f>
        <v>9500</v>
      </c>
      <c r="D40" s="42">
        <f>'Payroll Summary'!E31</f>
        <v>0</v>
      </c>
      <c r="E40" s="42">
        <f>'Payroll Summary'!F31</f>
        <v>0</v>
      </c>
      <c r="F40" s="42">
        <f>'Payroll Summary'!G31</f>
        <v>272.68518518518465</v>
      </c>
      <c r="G40" s="42">
        <f>'Payroll Summary'!I31</f>
        <v>3800</v>
      </c>
      <c r="H40" s="42">
        <f>'Payroll Summary'!K31</f>
        <v>5972.6851851851843</v>
      </c>
    </row>
    <row r="41" spans="1:8" ht="18" customHeight="1">
      <c r="A41" s="43" t="str">
        <f>'Payroll Summary'!B32</f>
        <v>محمد طارق</v>
      </c>
      <c r="B41" s="43" t="str">
        <f>'Payroll Summary'!C32</f>
        <v>تسويق</v>
      </c>
      <c r="C41" s="44">
        <f>'Payroll Summary'!D32</f>
        <v>9500</v>
      </c>
      <c r="D41" s="44">
        <f>'Payroll Summary'!E32</f>
        <v>0</v>
      </c>
      <c r="E41" s="44">
        <f>'Payroll Summary'!F32</f>
        <v>0</v>
      </c>
      <c r="F41" s="44">
        <f>'Payroll Summary'!G32</f>
        <v>0</v>
      </c>
      <c r="G41" s="44">
        <f>'Payroll Summary'!I32</f>
        <v>0</v>
      </c>
      <c r="H41" s="44">
        <f>'Payroll Summary'!K32</f>
        <v>9500</v>
      </c>
    </row>
    <row r="42" spans="1:8" ht="18" customHeight="1">
      <c r="A42" s="41" t="str">
        <f>'Payroll Summary'!B33</f>
        <v>انس انور</v>
      </c>
      <c r="B42" s="41" t="str">
        <f>'Payroll Summary'!C33</f>
        <v>اداره</v>
      </c>
      <c r="C42" s="42">
        <f>'Payroll Summary'!D33</f>
        <v>12000</v>
      </c>
      <c r="D42" s="42">
        <f>'Payroll Summary'!E33</f>
        <v>4444.4444444444443</v>
      </c>
      <c r="E42" s="42">
        <f>'Payroll Summary'!F33</f>
        <v>0</v>
      </c>
      <c r="F42" s="42">
        <f>'Payroll Summary'!G33</f>
        <v>0</v>
      </c>
      <c r="G42" s="42">
        <f>'Payroll Summary'!I33</f>
        <v>2600</v>
      </c>
      <c r="H42" s="42">
        <f>'Payroll Summary'!K33</f>
        <v>4955.5555555555557</v>
      </c>
    </row>
    <row r="43" spans="1:8" ht="18" customHeight="1">
      <c r="A43" s="43" t="str">
        <f>'Payroll Summary'!B34</f>
        <v>مراون عادل</v>
      </c>
      <c r="B43" s="43" t="str">
        <f>'Payroll Summary'!C34</f>
        <v>اداره</v>
      </c>
      <c r="C43" s="44">
        <f>'Payroll Summary'!D34</f>
        <v>12000</v>
      </c>
      <c r="D43" s="44">
        <f>'Payroll Summary'!E34</f>
        <v>0</v>
      </c>
      <c r="E43" s="44">
        <f>'Payroll Summary'!F34</f>
        <v>0</v>
      </c>
      <c r="F43" s="44">
        <f>'Payroll Summary'!G34</f>
        <v>0</v>
      </c>
      <c r="G43" s="44">
        <f>'Payroll Summary'!I34</f>
        <v>1000</v>
      </c>
      <c r="H43" s="44">
        <f>'Payroll Summary'!K34</f>
        <v>11000</v>
      </c>
    </row>
    <row r="44" spans="1:8" ht="18" customHeight="1">
      <c r="A44" s="41" t="str">
        <f>'Payroll Summary'!B35</f>
        <v>سعد محمد</v>
      </c>
      <c r="B44" s="41" t="str">
        <f>'Payroll Summary'!C35</f>
        <v>اداره</v>
      </c>
      <c r="C44" s="42">
        <f>'Payroll Summary'!D35</f>
        <v>12000</v>
      </c>
      <c r="D44" s="42">
        <f>'Payroll Summary'!E35</f>
        <v>0</v>
      </c>
      <c r="E44" s="42">
        <f>'Payroll Summary'!F35</f>
        <v>0</v>
      </c>
      <c r="F44" s="42">
        <f>'Payroll Summary'!G35</f>
        <v>0</v>
      </c>
      <c r="G44" s="42">
        <f>'Payroll Summary'!I35</f>
        <v>0</v>
      </c>
      <c r="H44" s="42">
        <f>'Payroll Summary'!K35</f>
        <v>12000</v>
      </c>
    </row>
  </sheetData>
  <mergeCells count="18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6:B6"/>
    <mergeCell ref="C6:D6"/>
    <mergeCell ref="E6:F6"/>
    <mergeCell ref="G6:H6"/>
    <mergeCell ref="A7:B7"/>
    <mergeCell ref="C7:D7"/>
    <mergeCell ref="E7:F7"/>
    <mergeCell ref="G7:H7"/>
    <mergeCell ref="A10:H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</vt:lpstr>
      <vt:lpstr>Attendance</vt:lpstr>
      <vt:lpstr>Advances &amp; Deductions</vt:lpstr>
      <vt:lpstr>Payroll 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muhammed hussein</cp:lastModifiedBy>
  <cp:revision>0</cp:revision>
  <dcterms:created xsi:type="dcterms:W3CDTF">2026-05-03T17:38:52Z</dcterms:created>
  <dcterms:modified xsi:type="dcterms:W3CDTF">2026-05-16T02:24:39Z</dcterms:modified>
  <dc:language>en-US</dc:language>
</cp:coreProperties>
</file>